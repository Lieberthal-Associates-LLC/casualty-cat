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lieberthalandassociates.sharepoint.com/sites/LieberthalAssociatesLLC-Clients/Shared Documents/Clients/CAS/Casualty Catastrophe Model RFP/Code/casualty-risk-model/output/"/>
    </mc:Choice>
  </mc:AlternateContent>
  <xr:revisionPtr revIDLastSave="1" documentId="11_435D68636D42B11529A7116D501A39B11966F049" xr6:coauthVersionLast="47" xr6:coauthVersionMax="47" xr10:uidLastSave="{90150538-5056-014F-BC1F-206D03254BE2}"/>
  <bookViews>
    <workbookView xWindow="5620" yWindow="4180" windowWidth="33500" windowHeight="20180" xr2:uid="{00000000-000D-0000-FFFF-FFFF00000000}"/>
  </bookViews>
  <sheets>
    <sheet name="parameters" sheetId="1" r:id="rId1"/>
    <sheet name="policies" sheetId="2" r:id="rId2"/>
    <sheet name="compExposures" sheetId="3" r:id="rId3"/>
    <sheet name="events" sheetId="4" r:id="rId4"/>
    <sheet name="losses" sheetId="5" r:id="rId5"/>
    <sheet name="payouts" sheetId="6" r:id="rId6"/>
    <sheet name="Pivot_Data" sheetId="7" r:id="rId7"/>
    <sheet name="Pivot" sheetId="8" r:id="rId8"/>
  </sheets>
  <calcPr calcId="191029"/>
  <pivotCaches>
    <pivotCache cacheId="1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<sst xmlns="http://schemas.openxmlformats.org/spreadsheetml/2006/main" count="1075" uniqueCount="240">
  <si>
    <t>Parameter</t>
  </si>
  <si>
    <t>Value</t>
  </si>
  <si>
    <t>zeroEventProb</t>
  </si>
  <si>
    <t>0.7</t>
  </si>
  <si>
    <t>meanEventPoisson</t>
  </si>
  <si>
    <t>2</t>
  </si>
  <si>
    <t>logShockSd</t>
  </si>
  <si>
    <t>0.05</t>
  </si>
  <si>
    <t>sevLNormLoc</t>
  </si>
  <si>
    <t>15</t>
  </si>
  <si>
    <t>sevLNormSd</t>
  </si>
  <si>
    <t>sevLNormProb</t>
  </si>
  <si>
    <t>sevParetoLoc</t>
  </si>
  <si>
    <t>1e+05</t>
  </si>
  <si>
    <t>sevParetoShape</t>
  </si>
  <si>
    <t>Activities</t>
  </si>
  <si>
    <t>Prob</t>
  </si>
  <si>
    <t>11</t>
  </si>
  <si>
    <t>0.2</t>
  </si>
  <si>
    <t>21</t>
  </si>
  <si>
    <t>22</t>
  </si>
  <si>
    <t>23</t>
  </si>
  <si>
    <t>31</t>
  </si>
  <si>
    <t>42</t>
  </si>
  <si>
    <t>44</t>
  </si>
  <si>
    <t>48</t>
  </si>
  <si>
    <t>51</t>
  </si>
  <si>
    <t>52</t>
  </si>
  <si>
    <t>53</t>
  </si>
  <si>
    <t>54</t>
  </si>
  <si>
    <t>55</t>
  </si>
  <si>
    <t>56</t>
  </si>
  <si>
    <t>61</t>
  </si>
  <si>
    <t>62</t>
  </si>
  <si>
    <t>71</t>
  </si>
  <si>
    <t>72</t>
  </si>
  <si>
    <t>81</t>
  </si>
  <si>
    <t>92</t>
  </si>
  <si>
    <t>Policy.ID</t>
  </si>
  <si>
    <t>Insured.ID</t>
  </si>
  <si>
    <t>Policy.Count</t>
  </si>
  <si>
    <t>Risk.ID</t>
  </si>
  <si>
    <t>Insured.Name</t>
  </si>
  <si>
    <t>Insured.Address</t>
  </si>
  <si>
    <t>Insured.Latitude</t>
  </si>
  <si>
    <t>Insured.Longitude</t>
  </si>
  <si>
    <t>Policy.Inception.Date</t>
  </si>
  <si>
    <t>Policy.Expiration.Date</t>
  </si>
  <si>
    <t>Renewal.Indicator</t>
  </si>
  <si>
    <t>ALAE.Included</t>
  </si>
  <si>
    <t>Line.of.Business</t>
  </si>
  <si>
    <t>Insured.Industry</t>
  </si>
  <si>
    <t>Covers.Cyber.AI</t>
  </si>
  <si>
    <t>Covers.Environmental</t>
  </si>
  <si>
    <t>Covers.Errors.Omissions</t>
  </si>
  <si>
    <t>Covers.Infrastructure.Operations</t>
  </si>
  <si>
    <t>Covers.Legal.Regulatory</t>
  </si>
  <si>
    <t>Covers.Mass.Tort</t>
  </si>
  <si>
    <t>Covers.Product</t>
  </si>
  <si>
    <t>Covers.Supply.Chain</t>
  </si>
  <si>
    <t>Covers.Systematic</t>
  </si>
  <si>
    <t>Covers.Workplace.Incident</t>
  </si>
  <si>
    <t>Exposure.Base</t>
  </si>
  <si>
    <t>Exposure.Amount</t>
  </si>
  <si>
    <t>Deductible...Self.Insured.Retention</t>
  </si>
  <si>
    <t>Attachment.Point.for.Excess.Treaties</t>
  </si>
  <si>
    <t>Participation</t>
  </si>
  <si>
    <t>Expected.Gross.Loss.Ratio</t>
  </si>
  <si>
    <t>Risk.per.Occurrence.Layer.Limit</t>
  </si>
  <si>
    <t>Risk.Annual.Aggregate.Layer.Limit</t>
  </si>
  <si>
    <t>0</t>
  </si>
  <si>
    <t>A</t>
  </si>
  <si>
    <t>QAH</t>
  </si>
  <si>
    <t>UT</t>
  </si>
  <si>
    <t>2020-12-28 00:00:00</t>
  </si>
  <si>
    <t>2024-12-27 00:00:00</t>
  </si>
  <si>
    <t>No</t>
  </si>
  <si>
    <t>Yes</t>
  </si>
  <si>
    <t>General Liability</t>
  </si>
  <si>
    <t>Sales</t>
  </si>
  <si>
    <t>10</t>
  </si>
  <si>
    <t>H</t>
  </si>
  <si>
    <t>2021-06-14 00:00:00</t>
  </si>
  <si>
    <t>2022-06-14 00:00:00</t>
  </si>
  <si>
    <t>20</t>
  </si>
  <si>
    <t>Q</t>
  </si>
  <si>
    <t>2023-03-13 00:00:00</t>
  </si>
  <si>
    <t>2024-03-12 00:00:00</t>
  </si>
  <si>
    <t>34</t>
  </si>
  <si>
    <t>NZJ</t>
  </si>
  <si>
    <t>SC</t>
  </si>
  <si>
    <t>2021-08-13 00:00:00</t>
  </si>
  <si>
    <t>2023-08-13 00:00:00</t>
  </si>
  <si>
    <t>Number of Employees</t>
  </si>
  <si>
    <t>I</t>
  </si>
  <si>
    <t>2021-10-10 00:00:00</t>
  </si>
  <si>
    <t>2022-10-10 00:00:00</t>
  </si>
  <si>
    <t>Revenue</t>
  </si>
  <si>
    <t>2023-10-09 00:00:00</t>
  </si>
  <si>
    <t>2025-10-08 00:00:00</t>
  </si>
  <si>
    <t>60</t>
  </si>
  <si>
    <t>X</t>
  </si>
  <si>
    <t>2022-06-27 00:00:00</t>
  </si>
  <si>
    <t>2023-06-27 00:00:00</t>
  </si>
  <si>
    <t>73</t>
  </si>
  <si>
    <t>1K</t>
  </si>
  <si>
    <t>2020-02-12 00:00:00</t>
  </si>
  <si>
    <t>2021-02-11 00:00:00</t>
  </si>
  <si>
    <t>87</t>
  </si>
  <si>
    <t>UKB</t>
  </si>
  <si>
    <t>VA</t>
  </si>
  <si>
    <t>2020-07-29 00:00:00</t>
  </si>
  <si>
    <t>2021-07-29 00:00:00</t>
  </si>
  <si>
    <t>88</t>
  </si>
  <si>
    <t>B</t>
  </si>
  <si>
    <t>2023-06-14 00:00:00</t>
  </si>
  <si>
    <t>89</t>
  </si>
  <si>
    <t>C</t>
  </si>
  <si>
    <t>2020-02-27 00:00:00</t>
  </si>
  <si>
    <t>2021-02-26 00:00:00</t>
  </si>
  <si>
    <t>90</t>
  </si>
  <si>
    <t>D</t>
  </si>
  <si>
    <t>2020-06-11 00:00:00</t>
  </si>
  <si>
    <t>2021-06-11 00:00:00</t>
  </si>
  <si>
    <t>99</t>
  </si>
  <si>
    <t>M</t>
  </si>
  <si>
    <t>2023-11-13 00:00:00</t>
  </si>
  <si>
    <t>2024-11-12 00:00:00</t>
  </si>
  <si>
    <t>113</t>
  </si>
  <si>
    <t>Y</t>
  </si>
  <si>
    <t>2021-08-17 00:00:00</t>
  </si>
  <si>
    <t>2022-08-17 00:00:00</t>
  </si>
  <si>
    <t>124</t>
  </si>
  <si>
    <t>1I</t>
  </si>
  <si>
    <t>2021-08-14 00:00:00</t>
  </si>
  <si>
    <t>2022-08-14 00:00:00</t>
  </si>
  <si>
    <t>135</t>
  </si>
  <si>
    <t>WAS</t>
  </si>
  <si>
    <t>LA</t>
  </si>
  <si>
    <t>2023-12-08 00:00:00</t>
  </si>
  <si>
    <t>2024-12-07 00:00:00</t>
  </si>
  <si>
    <t>169</t>
  </si>
  <si>
    <t>BWY</t>
  </si>
  <si>
    <t>CA</t>
  </si>
  <si>
    <t>2023-11-24 00:00:00</t>
  </si>
  <si>
    <t>2024-11-23 00:00:00</t>
  </si>
  <si>
    <t>180</t>
  </si>
  <si>
    <t>K</t>
  </si>
  <si>
    <t>2022-02-03 00:00:00</t>
  </si>
  <si>
    <t>2023-02-03 00:00:00</t>
  </si>
  <si>
    <t>181</t>
  </si>
  <si>
    <t>L</t>
  </si>
  <si>
    <t>2021-10-06 00:00:00</t>
  </si>
  <si>
    <t>2022-10-06 00:00:00</t>
  </si>
  <si>
    <t>190</t>
  </si>
  <si>
    <t>BBA</t>
  </si>
  <si>
    <t>2022-09-20 00:00:00</t>
  </si>
  <si>
    <t>2023-09-20 00:00:00</t>
  </si>
  <si>
    <t>210</t>
  </si>
  <si>
    <t>S</t>
  </si>
  <si>
    <t>2021-11-17 00:00:00</t>
  </si>
  <si>
    <t>2022-11-17 00:00:00</t>
  </si>
  <si>
    <t>Payroll</t>
  </si>
  <si>
    <t>221</t>
  </si>
  <si>
    <t>1B</t>
  </si>
  <si>
    <t>2020-03-01 00:00:00</t>
  </si>
  <si>
    <t>2021-03-01 00:00:00</t>
  </si>
  <si>
    <t>229</t>
  </si>
  <si>
    <t>BVW</t>
  </si>
  <si>
    <t>OH</t>
  </si>
  <si>
    <t>2021-06-09 00:00:00</t>
  </si>
  <si>
    <t>2023-06-09 00:00:00</t>
  </si>
  <si>
    <t>237</t>
  </si>
  <si>
    <t>2023-09-30 00:00:00</t>
  </si>
  <si>
    <t>2026-09-29 00:00:00</t>
  </si>
  <si>
    <t>238</t>
  </si>
  <si>
    <t>2022-08-30 00:00:00</t>
  </si>
  <si>
    <t>2023-08-30 00:00:00</t>
  </si>
  <si>
    <t>247</t>
  </si>
  <si>
    <t>R</t>
  </si>
  <si>
    <t>2024-02-03 00:00:00</t>
  </si>
  <si>
    <t>259</t>
  </si>
  <si>
    <t>1D</t>
  </si>
  <si>
    <t>2022-12-23 00:00:00</t>
  </si>
  <si>
    <t>2023-12-23 00:00:00</t>
  </si>
  <si>
    <t>280</t>
  </si>
  <si>
    <t>XNB</t>
  </si>
  <si>
    <t>2021-05-23 00:00:00</t>
  </si>
  <si>
    <t>2022-05-23 00:00:00</t>
  </si>
  <si>
    <t>289</t>
  </si>
  <si>
    <t>J</t>
  </si>
  <si>
    <t>2021-10-22 00:00:00</t>
  </si>
  <si>
    <t>2022-10-22 00:00:00</t>
  </si>
  <si>
    <t>321</t>
  </si>
  <si>
    <t>1M</t>
  </si>
  <si>
    <t>2022-02-26 00:00:00</t>
  </si>
  <si>
    <t>2023-02-26 00:00:00</t>
  </si>
  <si>
    <t>344</t>
  </si>
  <si>
    <t>YWW</t>
  </si>
  <si>
    <t>2022-12-07 00:00:00</t>
  </si>
  <si>
    <t>2023-12-07 00:00:00</t>
  </si>
  <si>
    <t>354</t>
  </si>
  <si>
    <t>VBI</t>
  </si>
  <si>
    <t>HI</t>
  </si>
  <si>
    <t>2023-11-10 00:00:00</t>
  </si>
  <si>
    <t>2024-11-09 00:00:00</t>
  </si>
  <si>
    <t>363</t>
  </si>
  <si>
    <t>2022-12-24 00:00:00</t>
  </si>
  <si>
    <t>2025-12-23 00:00:00</t>
  </si>
  <si>
    <t>386</t>
  </si>
  <si>
    <t>1F</t>
  </si>
  <si>
    <t>2023-06-07 00:00:00</t>
  </si>
  <si>
    <t>2024-06-06 00:00:00</t>
  </si>
  <si>
    <t>Insured ID</t>
  </si>
  <si>
    <t>Exposed Amount</t>
  </si>
  <si>
    <t>Company 0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</si>
  <si>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</si>
  <si>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</si>
  <si>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</si>
  <si>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</si>
  <si>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</si>
  <si>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</si>
  <si>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</si>
  <si>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</si>
  <si>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</si>
  <si>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Run</t>
  </si>
  <si>
    <t>Event</t>
  </si>
  <si>
    <t>Severity</t>
  </si>
  <si>
    <t>Run 1</t>
  </si>
  <si>
    <t>Run 2</t>
  </si>
  <si>
    <t>Event 1</t>
  </si>
  <si>
    <t>Event 2</t>
  </si>
  <si>
    <t>Event 3</t>
  </si>
  <si>
    <t>Run 3</t>
  </si>
  <si>
    <t>Run 4</t>
  </si>
  <si>
    <t>Run 5</t>
  </si>
  <si>
    <t>sum of Severity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</si>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</sst>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b Lieberthal" refreshedDate="46089.579523611108" createdVersion="8" refreshedVersion="8" minRefreshableVersion="3" recordCount="5" xr:uid="{00000000-000A-0000-FFFF-FFFF01000000}">
  <cacheSource type="worksheet">
    <worksheetSource ref="A1:C6" sheet="Pivot_Data"/>
  </cacheSource>
  <cacheFields count="3">
    <cacheField name="Run" numFmtId="0">
      <sharedItems containsSemiMixedTypes="0" containsString="0" containsNumber="1" containsInteger="1" minValue="2" maxValue="4" count="2">
        <n v="2"/>
        <n v="4"/>
      </sharedItems>
    </cacheField>
    <cacheField name="Event" numFmtId="0">
      <sharedItems containsSemiMixedTypes="0" containsString="0" containsNumber="1" containsInteger="1" minValue="1" maxValue="3" count="3">
        <n v="1"/>
        <n v="2"/>
        <n v="3"/>
      </sharedItems>
    </cacheField>
    <cacheField name="Severity" numFmtId="0">
      <sharedItems containsSemiMixedTypes="0" containsString="0" containsNumber="1" minValue="107629.530503503" maxValue="6144508.0295962896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6144508.0295962896"/>
  </r>
  <r>
    <x v="0"/>
    <x v="1"/>
    <n v="4920991.9698781697"/>
  </r>
  <r>
    <x v="0"/>
    <x v="2"/>
    <n v="190385.87777849601"/>
  </r>
  <r>
    <x v="1"/>
    <x v="0"/>
    <n v="107629.530503503"/>
  </r>
  <r>
    <x v="1"/>
    <x v="1"/>
    <n v="4833618.8548125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:E7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ever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5</v>
      </c>
    </row>
    <row r="7" spans="1:2" x14ac:dyDescent="0.2">
      <c r="A7" t="s">
        <v>11</v>
      </c>
      <c r="B7" t="s">
        <v>3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5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18</v>
      </c>
    </row>
    <row r="13" spans="1:2" x14ac:dyDescent="0.2">
      <c r="A13" t="s">
        <v>20</v>
      </c>
      <c r="B13" t="s">
        <v>18</v>
      </c>
    </row>
    <row r="14" spans="1:2" x14ac:dyDescent="0.2">
      <c r="A14" t="s">
        <v>21</v>
      </c>
      <c r="B14" t="s">
        <v>18</v>
      </c>
    </row>
    <row r="15" spans="1:2" x14ac:dyDescent="0.2">
      <c r="A15" t="s">
        <v>22</v>
      </c>
      <c r="B15" t="s">
        <v>18</v>
      </c>
    </row>
    <row r="16" spans="1:2" x14ac:dyDescent="0.2">
      <c r="A16" t="s">
        <v>23</v>
      </c>
      <c r="B16" t="s">
        <v>18</v>
      </c>
    </row>
    <row r="17" spans="1:2" x14ac:dyDescent="0.2">
      <c r="A17" t="s">
        <v>24</v>
      </c>
      <c r="B17" t="s">
        <v>18</v>
      </c>
    </row>
    <row r="18" spans="1:2" x14ac:dyDescent="0.2">
      <c r="A18" t="s">
        <v>25</v>
      </c>
      <c r="B18" t="s">
        <v>18</v>
      </c>
    </row>
    <row r="19" spans="1:2" x14ac:dyDescent="0.2">
      <c r="A19" t="s">
        <v>26</v>
      </c>
      <c r="B19" t="s">
        <v>18</v>
      </c>
    </row>
    <row r="20" spans="1:2" x14ac:dyDescent="0.2">
      <c r="A20" t="s">
        <v>27</v>
      </c>
      <c r="B20" t="s">
        <v>18</v>
      </c>
    </row>
    <row r="21" spans="1:2" x14ac:dyDescent="0.2">
      <c r="A21" t="s">
        <v>28</v>
      </c>
      <c r="B21" t="s">
        <v>18</v>
      </c>
    </row>
    <row r="22" spans="1:2" x14ac:dyDescent="0.2">
      <c r="A22" t="s">
        <v>29</v>
      </c>
      <c r="B22" t="s">
        <v>18</v>
      </c>
    </row>
    <row r="23" spans="1:2" x14ac:dyDescent="0.2">
      <c r="A23" t="s">
        <v>30</v>
      </c>
      <c r="B23" t="s">
        <v>18</v>
      </c>
    </row>
    <row r="24" spans="1:2" x14ac:dyDescent="0.2">
      <c r="A24" t="s">
        <v>31</v>
      </c>
      <c r="B24" t="s">
        <v>18</v>
      </c>
    </row>
    <row r="25" spans="1:2" x14ac:dyDescent="0.2">
      <c r="A25" t="s">
        <v>32</v>
      </c>
      <c r="B25" t="s">
        <v>18</v>
      </c>
    </row>
    <row r="26" spans="1:2" x14ac:dyDescent="0.2">
      <c r="A26" t="s">
        <v>33</v>
      </c>
      <c r="B26" t="s">
        <v>18</v>
      </c>
    </row>
    <row r="27" spans="1:2" x14ac:dyDescent="0.2">
      <c r="A27" t="s">
        <v>34</v>
      </c>
      <c r="B27" t="s">
        <v>18</v>
      </c>
    </row>
    <row r="28" spans="1:2" x14ac:dyDescent="0.2">
      <c r="A28" t="s">
        <v>35</v>
      </c>
      <c r="B28" t="s">
        <v>18</v>
      </c>
    </row>
    <row r="29" spans="1:2" x14ac:dyDescent="0.2">
      <c r="A29" t="s">
        <v>36</v>
      </c>
      <c r="B29" t="s">
        <v>18</v>
      </c>
    </row>
    <row r="30" spans="1:2" x14ac:dyDescent="0.2">
      <c r="A30" t="s">
        <v>37</v>
      </c>
      <c r="B30" t="s">
        <v>18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5"/>
  <sheetViews>
    <sheetView workbookViewId="0"/>
  </sheetViews>
  <sheetFormatPr baseColWidth="10" defaultColWidth="8.83203125" defaultRowHeight="15" x14ac:dyDescent="0.2"/>
  <sheetData>
    <row r="1" spans="1:33" x14ac:dyDescent="0.2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</row>
    <row r="2" spans="1:33" x14ac:dyDescent="0.2">
      <c r="A2" t="s">
        <v>70</v>
      </c>
      <c r="B2">
        <v>0</v>
      </c>
      <c r="C2">
        <v>0</v>
      </c>
      <c r="D2">
        <v>1</v>
      </c>
      <c r="E2" t="s">
        <v>71</v>
      </c>
      <c r="F2" t="s">
        <v>72</v>
      </c>
      <c r="G2" t="s">
        <v>73</v>
      </c>
      <c r="H2">
        <v>35.01</v>
      </c>
      <c r="I2">
        <v>-90.28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>
        <v>72</v>
      </c>
      <c r="P2" t="s">
        <v>76</v>
      </c>
      <c r="Q2" t="s">
        <v>76</v>
      </c>
      <c r="R2" t="s">
        <v>76</v>
      </c>
      <c r="S2" t="s">
        <v>77</v>
      </c>
      <c r="T2" t="s">
        <v>76</v>
      </c>
      <c r="U2" t="s">
        <v>77</v>
      </c>
      <c r="V2" t="s">
        <v>77</v>
      </c>
      <c r="W2" t="s">
        <v>76</v>
      </c>
      <c r="X2" t="s">
        <v>76</v>
      </c>
      <c r="Y2" t="s">
        <v>76</v>
      </c>
      <c r="Z2" t="s">
        <v>79</v>
      </c>
      <c r="AA2">
        <v>15000</v>
      </c>
      <c r="AB2">
        <v>8000</v>
      </c>
      <c r="AC2">
        <v>13000</v>
      </c>
      <c r="AD2">
        <v>1</v>
      </c>
      <c r="AE2">
        <v>0.56399999999999995</v>
      </c>
      <c r="AF2">
        <v>500</v>
      </c>
      <c r="AG2">
        <v>2000</v>
      </c>
    </row>
    <row r="3" spans="1:33" x14ac:dyDescent="0.2">
      <c r="A3" t="s">
        <v>80</v>
      </c>
      <c r="B3">
        <v>10</v>
      </c>
      <c r="C3">
        <v>0</v>
      </c>
      <c r="D3">
        <v>1</v>
      </c>
      <c r="E3" t="s">
        <v>81</v>
      </c>
      <c r="F3" t="s">
        <v>72</v>
      </c>
      <c r="G3" t="s">
        <v>73</v>
      </c>
      <c r="H3">
        <v>35.01</v>
      </c>
      <c r="I3">
        <v>-90.28</v>
      </c>
      <c r="J3" t="s">
        <v>82</v>
      </c>
      <c r="K3" t="s">
        <v>83</v>
      </c>
      <c r="L3" t="s">
        <v>77</v>
      </c>
      <c r="M3" t="s">
        <v>76</v>
      </c>
      <c r="N3" t="s">
        <v>78</v>
      </c>
      <c r="O3">
        <v>72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76</v>
      </c>
      <c r="V3" t="s">
        <v>77</v>
      </c>
      <c r="W3" t="s">
        <v>77</v>
      </c>
      <c r="X3" t="s">
        <v>77</v>
      </c>
      <c r="Y3" t="s">
        <v>77</v>
      </c>
      <c r="Z3" t="s">
        <v>79</v>
      </c>
      <c r="AA3">
        <v>15000</v>
      </c>
      <c r="AB3">
        <v>8000</v>
      </c>
      <c r="AC3">
        <v>10000</v>
      </c>
      <c r="AD3">
        <v>1</v>
      </c>
      <c r="AE3">
        <v>0.85699999999999998</v>
      </c>
      <c r="AF3">
        <v>3000</v>
      </c>
      <c r="AG3">
        <v>3000</v>
      </c>
    </row>
    <row r="4" spans="1:33" x14ac:dyDescent="0.2">
      <c r="A4" t="s">
        <v>84</v>
      </c>
      <c r="B4">
        <v>20</v>
      </c>
      <c r="C4">
        <v>0</v>
      </c>
      <c r="D4">
        <v>1</v>
      </c>
      <c r="E4" t="s">
        <v>85</v>
      </c>
      <c r="F4" t="s">
        <v>72</v>
      </c>
      <c r="G4" t="s">
        <v>73</v>
      </c>
      <c r="H4">
        <v>35.01</v>
      </c>
      <c r="I4">
        <v>-90.28</v>
      </c>
      <c r="J4" t="s">
        <v>86</v>
      </c>
      <c r="K4" t="s">
        <v>87</v>
      </c>
      <c r="L4" t="s">
        <v>76</v>
      </c>
      <c r="M4" t="s">
        <v>76</v>
      </c>
      <c r="N4" t="s">
        <v>78</v>
      </c>
      <c r="O4">
        <v>72</v>
      </c>
      <c r="P4" t="s">
        <v>76</v>
      </c>
      <c r="Q4" t="s">
        <v>76</v>
      </c>
      <c r="R4" t="s">
        <v>76</v>
      </c>
      <c r="S4" t="s">
        <v>76</v>
      </c>
      <c r="T4" t="s">
        <v>76</v>
      </c>
      <c r="U4" t="s">
        <v>76</v>
      </c>
      <c r="V4" t="s">
        <v>76</v>
      </c>
      <c r="W4" t="s">
        <v>77</v>
      </c>
      <c r="X4" t="s">
        <v>76</v>
      </c>
      <c r="Y4" t="s">
        <v>76</v>
      </c>
      <c r="Z4" t="s">
        <v>79</v>
      </c>
      <c r="AA4">
        <v>15000</v>
      </c>
      <c r="AB4">
        <v>8000</v>
      </c>
      <c r="AC4">
        <v>8000</v>
      </c>
      <c r="AD4">
        <v>1</v>
      </c>
      <c r="AE4">
        <v>0.57299999999999995</v>
      </c>
      <c r="AF4">
        <v>1000</v>
      </c>
      <c r="AG4">
        <v>2000</v>
      </c>
    </row>
    <row r="5" spans="1:33" x14ac:dyDescent="0.2">
      <c r="A5" t="s">
        <v>88</v>
      </c>
      <c r="B5">
        <v>34</v>
      </c>
      <c r="C5">
        <v>1</v>
      </c>
      <c r="D5">
        <v>1</v>
      </c>
      <c r="E5" t="s">
        <v>71</v>
      </c>
      <c r="F5" t="s">
        <v>89</v>
      </c>
      <c r="G5" t="s">
        <v>90</v>
      </c>
      <c r="H5">
        <v>37.97</v>
      </c>
      <c r="I5">
        <v>-86.65</v>
      </c>
      <c r="J5" t="s">
        <v>91</v>
      </c>
      <c r="K5" t="s">
        <v>92</v>
      </c>
      <c r="L5" t="s">
        <v>76</v>
      </c>
      <c r="M5" t="s">
        <v>77</v>
      </c>
      <c r="N5" t="s">
        <v>78</v>
      </c>
      <c r="O5">
        <v>54</v>
      </c>
      <c r="P5" t="s">
        <v>77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76</v>
      </c>
      <c r="X5" t="s">
        <v>77</v>
      </c>
      <c r="Y5" t="s">
        <v>76</v>
      </c>
      <c r="Z5" t="s">
        <v>93</v>
      </c>
      <c r="AA5">
        <v>143000</v>
      </c>
      <c r="AB5">
        <v>60000</v>
      </c>
      <c r="AC5">
        <v>131000</v>
      </c>
      <c r="AD5">
        <v>1</v>
      </c>
      <c r="AE5">
        <v>0.66500000000000004</v>
      </c>
      <c r="AF5">
        <v>6000</v>
      </c>
      <c r="AG5">
        <v>12000</v>
      </c>
    </row>
    <row r="6" spans="1:33" x14ac:dyDescent="0.2">
      <c r="A6" t="s">
        <v>23</v>
      </c>
      <c r="B6">
        <v>42</v>
      </c>
      <c r="C6">
        <v>1</v>
      </c>
      <c r="D6">
        <v>1</v>
      </c>
      <c r="E6" t="s">
        <v>94</v>
      </c>
      <c r="F6" t="s">
        <v>89</v>
      </c>
      <c r="G6" t="s">
        <v>90</v>
      </c>
      <c r="H6">
        <v>37.97</v>
      </c>
      <c r="I6">
        <v>-86.65</v>
      </c>
      <c r="J6" t="s">
        <v>95</v>
      </c>
      <c r="K6" t="s">
        <v>96</v>
      </c>
      <c r="L6" t="s">
        <v>76</v>
      </c>
      <c r="M6" t="s">
        <v>77</v>
      </c>
      <c r="N6" t="s">
        <v>78</v>
      </c>
      <c r="O6">
        <v>54</v>
      </c>
      <c r="P6" t="s">
        <v>76</v>
      </c>
      <c r="Q6" t="s">
        <v>76</v>
      </c>
      <c r="R6" t="s">
        <v>76</v>
      </c>
      <c r="S6" t="s">
        <v>77</v>
      </c>
      <c r="T6" t="s">
        <v>77</v>
      </c>
      <c r="U6" t="s">
        <v>76</v>
      </c>
      <c r="V6" t="s">
        <v>76</v>
      </c>
      <c r="W6" t="s">
        <v>76</v>
      </c>
      <c r="X6" t="s">
        <v>76</v>
      </c>
      <c r="Y6" t="s">
        <v>76</v>
      </c>
      <c r="Z6" t="s">
        <v>97</v>
      </c>
      <c r="AA6">
        <v>143000</v>
      </c>
      <c r="AB6">
        <v>60000</v>
      </c>
      <c r="AC6">
        <v>117000</v>
      </c>
      <c r="AD6">
        <v>1</v>
      </c>
      <c r="AE6">
        <v>0.79900000000000004</v>
      </c>
      <c r="AF6">
        <v>14000</v>
      </c>
      <c r="AG6">
        <v>14000</v>
      </c>
    </row>
    <row r="7" spans="1:33" x14ac:dyDescent="0.2">
      <c r="A7" t="s">
        <v>26</v>
      </c>
      <c r="B7">
        <v>51</v>
      </c>
      <c r="C7">
        <v>1</v>
      </c>
      <c r="D7">
        <v>1</v>
      </c>
      <c r="E7" t="s">
        <v>85</v>
      </c>
      <c r="F7" t="s">
        <v>89</v>
      </c>
      <c r="G7" t="s">
        <v>90</v>
      </c>
      <c r="H7">
        <v>37.97</v>
      </c>
      <c r="I7">
        <v>-86.65</v>
      </c>
      <c r="J7" t="s">
        <v>98</v>
      </c>
      <c r="K7" t="s">
        <v>99</v>
      </c>
      <c r="L7" t="s">
        <v>76</v>
      </c>
      <c r="M7" t="s">
        <v>76</v>
      </c>
      <c r="N7" t="s">
        <v>78</v>
      </c>
      <c r="O7">
        <v>54</v>
      </c>
      <c r="P7" t="s">
        <v>77</v>
      </c>
      <c r="Q7" t="s">
        <v>77</v>
      </c>
      <c r="R7" t="s">
        <v>76</v>
      </c>
      <c r="S7" t="s">
        <v>77</v>
      </c>
      <c r="T7" t="s">
        <v>77</v>
      </c>
      <c r="U7" t="s">
        <v>77</v>
      </c>
      <c r="V7" t="s">
        <v>76</v>
      </c>
      <c r="W7" t="s">
        <v>77</v>
      </c>
      <c r="X7" t="s">
        <v>76</v>
      </c>
      <c r="Y7" t="s">
        <v>76</v>
      </c>
      <c r="Z7" t="s">
        <v>79</v>
      </c>
      <c r="AA7">
        <v>143000</v>
      </c>
      <c r="AB7">
        <v>60000</v>
      </c>
      <c r="AC7">
        <v>93000</v>
      </c>
      <c r="AD7">
        <v>1</v>
      </c>
      <c r="AE7">
        <v>0.86599999999999999</v>
      </c>
      <c r="AF7">
        <v>12000</v>
      </c>
      <c r="AG7">
        <v>24000</v>
      </c>
    </row>
    <row r="8" spans="1:33" x14ac:dyDescent="0.2">
      <c r="A8" t="s">
        <v>100</v>
      </c>
      <c r="B8">
        <v>60</v>
      </c>
      <c r="C8">
        <v>1</v>
      </c>
      <c r="D8">
        <v>1</v>
      </c>
      <c r="E8" t="s">
        <v>101</v>
      </c>
      <c r="F8" t="s">
        <v>89</v>
      </c>
      <c r="G8" t="s">
        <v>90</v>
      </c>
      <c r="H8">
        <v>37.97</v>
      </c>
      <c r="I8">
        <v>-86.65</v>
      </c>
      <c r="J8" t="s">
        <v>102</v>
      </c>
      <c r="K8" t="s">
        <v>103</v>
      </c>
      <c r="L8" t="s">
        <v>77</v>
      </c>
      <c r="M8" t="s">
        <v>77</v>
      </c>
      <c r="N8" t="s">
        <v>78</v>
      </c>
      <c r="O8">
        <v>54</v>
      </c>
      <c r="P8" t="s">
        <v>76</v>
      </c>
      <c r="Q8" t="s">
        <v>77</v>
      </c>
      <c r="R8" t="s">
        <v>77</v>
      </c>
      <c r="S8" t="s">
        <v>76</v>
      </c>
      <c r="T8" t="s">
        <v>77</v>
      </c>
      <c r="U8" t="s">
        <v>76</v>
      </c>
      <c r="V8" t="s">
        <v>76</v>
      </c>
      <c r="W8" t="s">
        <v>77</v>
      </c>
      <c r="X8" t="s">
        <v>77</v>
      </c>
      <c r="Y8" t="s">
        <v>77</v>
      </c>
      <c r="Z8" t="s">
        <v>79</v>
      </c>
      <c r="AA8">
        <v>143000</v>
      </c>
      <c r="AB8">
        <v>60000</v>
      </c>
      <c r="AC8">
        <v>85000</v>
      </c>
      <c r="AD8">
        <v>1</v>
      </c>
      <c r="AE8">
        <v>0.65200000000000002</v>
      </c>
      <c r="AF8">
        <v>8000</v>
      </c>
      <c r="AG8">
        <v>8000</v>
      </c>
    </row>
    <row r="9" spans="1:33" x14ac:dyDescent="0.2">
      <c r="A9" t="s">
        <v>104</v>
      </c>
      <c r="B9">
        <v>73</v>
      </c>
      <c r="C9">
        <v>1</v>
      </c>
      <c r="D9">
        <v>1</v>
      </c>
      <c r="E9" t="s">
        <v>105</v>
      </c>
      <c r="F9" t="s">
        <v>89</v>
      </c>
      <c r="G9" t="s">
        <v>90</v>
      </c>
      <c r="H9">
        <v>37.97</v>
      </c>
      <c r="I9">
        <v>-86.65</v>
      </c>
      <c r="J9" t="s">
        <v>106</v>
      </c>
      <c r="K9" t="s">
        <v>107</v>
      </c>
      <c r="L9" t="s">
        <v>76</v>
      </c>
      <c r="M9" t="s">
        <v>77</v>
      </c>
      <c r="N9" t="s">
        <v>78</v>
      </c>
      <c r="O9">
        <v>54</v>
      </c>
      <c r="P9" t="s">
        <v>77</v>
      </c>
      <c r="Q9" t="s">
        <v>77</v>
      </c>
      <c r="R9" t="s">
        <v>77</v>
      </c>
      <c r="S9" t="s">
        <v>77</v>
      </c>
      <c r="T9" t="s">
        <v>76</v>
      </c>
      <c r="U9" t="s">
        <v>77</v>
      </c>
      <c r="V9" t="s">
        <v>77</v>
      </c>
      <c r="W9" t="s">
        <v>77</v>
      </c>
      <c r="X9" t="s">
        <v>77</v>
      </c>
      <c r="Y9" t="s">
        <v>76</v>
      </c>
      <c r="Z9" t="s">
        <v>93</v>
      </c>
      <c r="AA9">
        <v>143000</v>
      </c>
      <c r="AB9">
        <v>60000</v>
      </c>
      <c r="AC9">
        <v>60000</v>
      </c>
      <c r="AD9">
        <v>1</v>
      </c>
      <c r="AE9">
        <v>0.71</v>
      </c>
      <c r="AF9">
        <v>25000</v>
      </c>
      <c r="AG9">
        <v>25000</v>
      </c>
    </row>
    <row r="10" spans="1:33" x14ac:dyDescent="0.2">
      <c r="A10" t="s">
        <v>108</v>
      </c>
      <c r="B10">
        <v>87</v>
      </c>
      <c r="C10">
        <v>2</v>
      </c>
      <c r="D10">
        <v>1</v>
      </c>
      <c r="E10" t="s">
        <v>71</v>
      </c>
      <c r="F10" t="s">
        <v>109</v>
      </c>
      <c r="G10" t="s">
        <v>110</v>
      </c>
      <c r="H10">
        <v>41.22</v>
      </c>
      <c r="I10">
        <v>-96.88</v>
      </c>
      <c r="J10" t="s">
        <v>111</v>
      </c>
      <c r="K10" t="s">
        <v>112</v>
      </c>
      <c r="L10" t="s">
        <v>77</v>
      </c>
      <c r="M10" t="s">
        <v>76</v>
      </c>
      <c r="N10" t="s">
        <v>78</v>
      </c>
      <c r="O10">
        <v>53</v>
      </c>
      <c r="P10" t="s">
        <v>76</v>
      </c>
      <c r="Q10" t="s">
        <v>76</v>
      </c>
      <c r="R10" t="s">
        <v>77</v>
      </c>
      <c r="S10" t="s">
        <v>76</v>
      </c>
      <c r="T10" t="s">
        <v>77</v>
      </c>
      <c r="U10" t="s">
        <v>76</v>
      </c>
      <c r="V10" t="s">
        <v>76</v>
      </c>
      <c r="W10" t="s">
        <v>76</v>
      </c>
      <c r="X10" t="s">
        <v>76</v>
      </c>
      <c r="Y10" t="s">
        <v>76</v>
      </c>
      <c r="Z10" t="s">
        <v>93</v>
      </c>
      <c r="AA10">
        <v>27000</v>
      </c>
      <c r="AB10">
        <v>10000</v>
      </c>
      <c r="AC10">
        <v>24000</v>
      </c>
      <c r="AD10">
        <v>0.25</v>
      </c>
      <c r="AE10">
        <v>0.86199999999999999</v>
      </c>
      <c r="AF10">
        <v>3000</v>
      </c>
      <c r="AG10">
        <v>3000</v>
      </c>
    </row>
    <row r="11" spans="1:33" x14ac:dyDescent="0.2">
      <c r="A11" t="s">
        <v>113</v>
      </c>
      <c r="B11">
        <v>88</v>
      </c>
      <c r="C11">
        <v>2</v>
      </c>
      <c r="D11">
        <v>2</v>
      </c>
      <c r="E11" t="s">
        <v>114</v>
      </c>
      <c r="F11" t="s">
        <v>109</v>
      </c>
      <c r="G11" t="s">
        <v>110</v>
      </c>
      <c r="H11">
        <v>41.22</v>
      </c>
      <c r="I11">
        <v>-96.88</v>
      </c>
      <c r="J11" t="s">
        <v>83</v>
      </c>
      <c r="K11" t="s">
        <v>115</v>
      </c>
      <c r="L11" t="s">
        <v>77</v>
      </c>
      <c r="M11" t="s">
        <v>77</v>
      </c>
      <c r="N11" t="s">
        <v>78</v>
      </c>
      <c r="O11">
        <v>53</v>
      </c>
      <c r="P11" t="s">
        <v>77</v>
      </c>
      <c r="Q11" t="s">
        <v>76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76</v>
      </c>
      <c r="Z11" t="s">
        <v>93</v>
      </c>
      <c r="AA11">
        <v>27000</v>
      </c>
      <c r="AB11">
        <v>10000</v>
      </c>
      <c r="AC11">
        <v>24000</v>
      </c>
      <c r="AD11">
        <v>0.125</v>
      </c>
      <c r="AE11">
        <v>0.89800000000000002</v>
      </c>
      <c r="AF11">
        <v>1500</v>
      </c>
      <c r="AG11">
        <v>3000</v>
      </c>
    </row>
    <row r="12" spans="1:33" x14ac:dyDescent="0.2">
      <c r="A12" t="s">
        <v>116</v>
      </c>
      <c r="B12">
        <v>89</v>
      </c>
      <c r="C12">
        <v>2</v>
      </c>
      <c r="D12">
        <v>2</v>
      </c>
      <c r="E12" t="s">
        <v>117</v>
      </c>
      <c r="F12" t="s">
        <v>109</v>
      </c>
      <c r="G12" t="s">
        <v>110</v>
      </c>
      <c r="H12">
        <v>41.22</v>
      </c>
      <c r="I12">
        <v>-96.88</v>
      </c>
      <c r="J12" t="s">
        <v>118</v>
      </c>
      <c r="K12" t="s">
        <v>119</v>
      </c>
      <c r="L12" t="s">
        <v>76</v>
      </c>
      <c r="M12" t="s">
        <v>77</v>
      </c>
      <c r="N12" t="s">
        <v>78</v>
      </c>
      <c r="O12">
        <v>53</v>
      </c>
      <c r="P12" t="s">
        <v>77</v>
      </c>
      <c r="Q12" t="s">
        <v>77</v>
      </c>
      <c r="R12" t="s">
        <v>77</v>
      </c>
      <c r="S12" t="s">
        <v>77</v>
      </c>
      <c r="T12" t="s">
        <v>76</v>
      </c>
      <c r="U12" t="s">
        <v>76</v>
      </c>
      <c r="V12" t="s">
        <v>76</v>
      </c>
      <c r="W12" t="s">
        <v>76</v>
      </c>
      <c r="X12" t="s">
        <v>77</v>
      </c>
      <c r="Y12" t="s">
        <v>77</v>
      </c>
      <c r="Z12" t="s">
        <v>93</v>
      </c>
      <c r="AA12">
        <v>27000</v>
      </c>
      <c r="AB12">
        <v>10000</v>
      </c>
      <c r="AC12">
        <v>24000</v>
      </c>
      <c r="AD12">
        <v>0.125</v>
      </c>
      <c r="AE12">
        <v>0.67900000000000005</v>
      </c>
      <c r="AF12">
        <v>1000</v>
      </c>
      <c r="AG12">
        <v>3000</v>
      </c>
    </row>
    <row r="13" spans="1:33" x14ac:dyDescent="0.2">
      <c r="A13" t="s">
        <v>120</v>
      </c>
      <c r="B13">
        <v>90</v>
      </c>
      <c r="C13">
        <v>2</v>
      </c>
      <c r="D13">
        <v>1</v>
      </c>
      <c r="E13" t="s">
        <v>121</v>
      </c>
      <c r="F13" t="s">
        <v>109</v>
      </c>
      <c r="G13" t="s">
        <v>110</v>
      </c>
      <c r="H13">
        <v>41.22</v>
      </c>
      <c r="I13">
        <v>-96.88</v>
      </c>
      <c r="J13" t="s">
        <v>122</v>
      </c>
      <c r="K13" t="s">
        <v>123</v>
      </c>
      <c r="L13" t="s">
        <v>77</v>
      </c>
      <c r="M13" t="s">
        <v>76</v>
      </c>
      <c r="N13" t="s">
        <v>78</v>
      </c>
      <c r="O13">
        <v>53</v>
      </c>
      <c r="P13" t="s">
        <v>77</v>
      </c>
      <c r="Q13" t="s">
        <v>76</v>
      </c>
      <c r="R13" t="s">
        <v>77</v>
      </c>
      <c r="S13" t="s">
        <v>76</v>
      </c>
      <c r="T13" t="s">
        <v>76</v>
      </c>
      <c r="U13" t="s">
        <v>76</v>
      </c>
      <c r="V13" t="s">
        <v>77</v>
      </c>
      <c r="W13" t="s">
        <v>76</v>
      </c>
      <c r="X13" t="s">
        <v>77</v>
      </c>
      <c r="Y13" t="s">
        <v>76</v>
      </c>
      <c r="Z13" t="s">
        <v>79</v>
      </c>
      <c r="AA13">
        <v>27000</v>
      </c>
      <c r="AB13">
        <v>10000</v>
      </c>
      <c r="AC13">
        <v>24000</v>
      </c>
      <c r="AD13">
        <v>0.25</v>
      </c>
      <c r="AE13">
        <v>0.59499999999999997</v>
      </c>
      <c r="AF13">
        <v>3000</v>
      </c>
      <c r="AG13">
        <v>3000</v>
      </c>
    </row>
    <row r="14" spans="1:33" x14ac:dyDescent="0.2">
      <c r="A14" t="s">
        <v>124</v>
      </c>
      <c r="B14">
        <v>99</v>
      </c>
      <c r="C14">
        <v>2</v>
      </c>
      <c r="D14">
        <v>1</v>
      </c>
      <c r="E14" t="s">
        <v>125</v>
      </c>
      <c r="F14" t="s">
        <v>109</v>
      </c>
      <c r="G14" t="s">
        <v>110</v>
      </c>
      <c r="H14">
        <v>41.22</v>
      </c>
      <c r="I14">
        <v>-96.88</v>
      </c>
      <c r="J14" t="s">
        <v>126</v>
      </c>
      <c r="K14" t="s">
        <v>127</v>
      </c>
      <c r="L14" t="s">
        <v>76</v>
      </c>
      <c r="M14" t="s">
        <v>76</v>
      </c>
      <c r="N14" t="s">
        <v>78</v>
      </c>
      <c r="O14">
        <v>53</v>
      </c>
      <c r="P14" t="s">
        <v>77</v>
      </c>
      <c r="Q14" t="s">
        <v>76</v>
      </c>
      <c r="R14" t="s">
        <v>77</v>
      </c>
      <c r="S14" t="s">
        <v>76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93</v>
      </c>
      <c r="AA14">
        <v>27000</v>
      </c>
      <c r="AB14">
        <v>10000</v>
      </c>
      <c r="AC14">
        <v>19000</v>
      </c>
      <c r="AD14">
        <v>1</v>
      </c>
      <c r="AE14">
        <v>0.64500000000000002</v>
      </c>
      <c r="AF14">
        <v>2500</v>
      </c>
      <c r="AG14">
        <v>5000</v>
      </c>
    </row>
    <row r="15" spans="1:33" x14ac:dyDescent="0.2">
      <c r="A15" t="s">
        <v>128</v>
      </c>
      <c r="B15">
        <v>113</v>
      </c>
      <c r="C15">
        <v>2</v>
      </c>
      <c r="D15">
        <v>1</v>
      </c>
      <c r="E15" t="s">
        <v>129</v>
      </c>
      <c r="F15" t="s">
        <v>109</v>
      </c>
      <c r="G15" t="s">
        <v>110</v>
      </c>
      <c r="H15">
        <v>41.22</v>
      </c>
      <c r="I15">
        <v>-96.88</v>
      </c>
      <c r="J15" t="s">
        <v>130</v>
      </c>
      <c r="K15" t="s">
        <v>131</v>
      </c>
      <c r="L15" t="s">
        <v>76</v>
      </c>
      <c r="M15" t="s">
        <v>76</v>
      </c>
      <c r="N15" t="s">
        <v>78</v>
      </c>
      <c r="O15">
        <v>53</v>
      </c>
      <c r="P15" t="s">
        <v>76</v>
      </c>
      <c r="Q15" t="s">
        <v>77</v>
      </c>
      <c r="R15" t="s">
        <v>77</v>
      </c>
      <c r="S15" t="s">
        <v>76</v>
      </c>
      <c r="T15" t="s">
        <v>76</v>
      </c>
      <c r="U15" t="s">
        <v>77</v>
      </c>
      <c r="V15" t="s">
        <v>76</v>
      </c>
      <c r="W15" t="s">
        <v>76</v>
      </c>
      <c r="X15" t="s">
        <v>77</v>
      </c>
      <c r="Y15" t="s">
        <v>76</v>
      </c>
      <c r="Z15" t="s">
        <v>97</v>
      </c>
      <c r="AA15">
        <v>27000</v>
      </c>
      <c r="AB15">
        <v>10000</v>
      </c>
      <c r="AC15">
        <v>15000</v>
      </c>
      <c r="AD15">
        <v>1</v>
      </c>
      <c r="AE15">
        <v>0.69899999999999995</v>
      </c>
      <c r="AF15">
        <v>1333</v>
      </c>
      <c r="AG15">
        <v>4000</v>
      </c>
    </row>
    <row r="16" spans="1:33" x14ac:dyDescent="0.2">
      <c r="A16" t="s">
        <v>132</v>
      </c>
      <c r="B16">
        <v>124</v>
      </c>
      <c r="C16">
        <v>2</v>
      </c>
      <c r="D16">
        <v>1</v>
      </c>
      <c r="E16" t="s">
        <v>133</v>
      </c>
      <c r="F16" t="s">
        <v>109</v>
      </c>
      <c r="G16" t="s">
        <v>110</v>
      </c>
      <c r="H16">
        <v>41.22</v>
      </c>
      <c r="I16">
        <v>-96.88</v>
      </c>
      <c r="J16" t="s">
        <v>134</v>
      </c>
      <c r="K16" t="s">
        <v>135</v>
      </c>
      <c r="L16" t="s">
        <v>77</v>
      </c>
      <c r="M16" t="s">
        <v>76</v>
      </c>
      <c r="N16" t="s">
        <v>78</v>
      </c>
      <c r="O16">
        <v>53</v>
      </c>
      <c r="P16" t="s">
        <v>77</v>
      </c>
      <c r="Q16" t="s">
        <v>76</v>
      </c>
      <c r="R16" t="s">
        <v>77</v>
      </c>
      <c r="S16" t="s">
        <v>76</v>
      </c>
      <c r="T16" t="s">
        <v>77</v>
      </c>
      <c r="U16" t="s">
        <v>77</v>
      </c>
      <c r="V16" t="s">
        <v>76</v>
      </c>
      <c r="W16" t="s">
        <v>77</v>
      </c>
      <c r="X16" t="s">
        <v>76</v>
      </c>
      <c r="Y16" t="s">
        <v>77</v>
      </c>
      <c r="Z16" t="s">
        <v>93</v>
      </c>
      <c r="AA16">
        <v>27000</v>
      </c>
      <c r="AB16">
        <v>10000</v>
      </c>
      <c r="AC16">
        <v>10000</v>
      </c>
      <c r="AD16">
        <v>1</v>
      </c>
      <c r="AE16">
        <v>0.85799999999999998</v>
      </c>
      <c r="AF16">
        <v>2500</v>
      </c>
      <c r="AG16">
        <v>5000</v>
      </c>
    </row>
    <row r="17" spans="1:33" x14ac:dyDescent="0.2">
      <c r="A17" t="s">
        <v>136</v>
      </c>
      <c r="B17">
        <v>135</v>
      </c>
      <c r="C17">
        <v>3</v>
      </c>
      <c r="D17">
        <v>1</v>
      </c>
      <c r="E17" t="s">
        <v>71</v>
      </c>
      <c r="F17" t="s">
        <v>137</v>
      </c>
      <c r="G17" t="s">
        <v>138</v>
      </c>
      <c r="H17">
        <v>39.14</v>
      </c>
      <c r="I17">
        <v>-98.06</v>
      </c>
      <c r="J17" t="s">
        <v>139</v>
      </c>
      <c r="K17" t="s">
        <v>140</v>
      </c>
      <c r="L17" t="s">
        <v>76</v>
      </c>
      <c r="M17" t="s">
        <v>77</v>
      </c>
      <c r="N17" t="s">
        <v>78</v>
      </c>
      <c r="O17">
        <v>53</v>
      </c>
      <c r="P17" t="s">
        <v>76</v>
      </c>
      <c r="Q17" t="s">
        <v>77</v>
      </c>
      <c r="R17" t="s">
        <v>76</v>
      </c>
      <c r="S17" t="s">
        <v>76</v>
      </c>
      <c r="T17" t="s">
        <v>77</v>
      </c>
      <c r="U17" t="s">
        <v>76</v>
      </c>
      <c r="V17" t="s">
        <v>76</v>
      </c>
      <c r="W17" t="s">
        <v>77</v>
      </c>
      <c r="X17" t="s">
        <v>76</v>
      </c>
      <c r="Y17" t="s">
        <v>77</v>
      </c>
      <c r="Z17" t="s">
        <v>79</v>
      </c>
      <c r="AA17">
        <v>17000</v>
      </c>
      <c r="AB17">
        <v>9000</v>
      </c>
      <c r="AC17">
        <v>14000</v>
      </c>
      <c r="AD17">
        <v>1</v>
      </c>
      <c r="AE17">
        <v>0.53100000000000003</v>
      </c>
      <c r="AF17">
        <v>750</v>
      </c>
      <c r="AG17">
        <v>3000</v>
      </c>
    </row>
    <row r="18" spans="1:33" x14ac:dyDescent="0.2">
      <c r="A18" t="s">
        <v>141</v>
      </c>
      <c r="B18">
        <v>169</v>
      </c>
      <c r="C18">
        <v>4</v>
      </c>
      <c r="D18">
        <v>1</v>
      </c>
      <c r="E18" t="s">
        <v>71</v>
      </c>
      <c r="F18" t="s">
        <v>142</v>
      </c>
      <c r="G18" t="s">
        <v>143</v>
      </c>
      <c r="H18">
        <v>33.770000000000003</v>
      </c>
      <c r="I18">
        <v>-100</v>
      </c>
      <c r="J18" t="s">
        <v>144</v>
      </c>
      <c r="K18" t="s">
        <v>145</v>
      </c>
      <c r="L18" t="s">
        <v>76</v>
      </c>
      <c r="M18" t="s">
        <v>77</v>
      </c>
      <c r="N18" t="s">
        <v>78</v>
      </c>
      <c r="O18">
        <v>72</v>
      </c>
      <c r="P18" t="s">
        <v>77</v>
      </c>
      <c r="Q18" t="s">
        <v>76</v>
      </c>
      <c r="R18" t="s">
        <v>77</v>
      </c>
      <c r="S18" t="s">
        <v>76</v>
      </c>
      <c r="T18" t="s">
        <v>77</v>
      </c>
      <c r="U18" t="s">
        <v>76</v>
      </c>
      <c r="V18" t="s">
        <v>77</v>
      </c>
      <c r="W18" t="s">
        <v>76</v>
      </c>
      <c r="X18" t="s">
        <v>77</v>
      </c>
      <c r="Y18" t="s">
        <v>77</v>
      </c>
      <c r="Z18" t="s">
        <v>97</v>
      </c>
      <c r="AA18">
        <v>340000</v>
      </c>
      <c r="AB18">
        <v>269000</v>
      </c>
      <c r="AC18">
        <v>322000</v>
      </c>
      <c r="AD18">
        <v>1</v>
      </c>
      <c r="AE18">
        <v>0.73699999999999999</v>
      </c>
      <c r="AF18">
        <v>9000</v>
      </c>
      <c r="AG18">
        <v>18000</v>
      </c>
    </row>
    <row r="19" spans="1:33" x14ac:dyDescent="0.2">
      <c r="A19" t="s">
        <v>146</v>
      </c>
      <c r="B19">
        <v>180</v>
      </c>
      <c r="C19">
        <v>4</v>
      </c>
      <c r="D19">
        <v>1</v>
      </c>
      <c r="E19" t="s">
        <v>147</v>
      </c>
      <c r="F19" t="s">
        <v>142</v>
      </c>
      <c r="G19" t="s">
        <v>143</v>
      </c>
      <c r="H19">
        <v>33.770000000000003</v>
      </c>
      <c r="I19">
        <v>-100</v>
      </c>
      <c r="J19" t="s">
        <v>148</v>
      </c>
      <c r="K19" t="s">
        <v>149</v>
      </c>
      <c r="L19" t="s">
        <v>77</v>
      </c>
      <c r="M19" t="s">
        <v>76</v>
      </c>
      <c r="N19" t="s">
        <v>78</v>
      </c>
      <c r="O19">
        <v>72</v>
      </c>
      <c r="P19" t="s">
        <v>76</v>
      </c>
      <c r="Q19" t="s">
        <v>77</v>
      </c>
      <c r="R19" t="s">
        <v>77</v>
      </c>
      <c r="S19" t="s">
        <v>77</v>
      </c>
      <c r="T19" t="s">
        <v>76</v>
      </c>
      <c r="U19" t="s">
        <v>77</v>
      </c>
      <c r="V19" t="s">
        <v>77</v>
      </c>
      <c r="W19" t="s">
        <v>77</v>
      </c>
      <c r="X19" t="s">
        <v>76</v>
      </c>
      <c r="Y19" t="s">
        <v>77</v>
      </c>
      <c r="Z19" t="s">
        <v>97</v>
      </c>
      <c r="AA19">
        <v>340000</v>
      </c>
      <c r="AB19">
        <v>269000</v>
      </c>
      <c r="AC19">
        <v>269000</v>
      </c>
      <c r="AD19">
        <v>0.5</v>
      </c>
      <c r="AE19">
        <v>0.69599999999999995</v>
      </c>
      <c r="AF19">
        <v>53000</v>
      </c>
      <c r="AG19">
        <v>53000</v>
      </c>
    </row>
    <row r="20" spans="1:33" x14ac:dyDescent="0.2">
      <c r="A20" t="s">
        <v>150</v>
      </c>
      <c r="B20">
        <v>181</v>
      </c>
      <c r="C20">
        <v>4</v>
      </c>
      <c r="D20">
        <v>1</v>
      </c>
      <c r="E20" t="s">
        <v>151</v>
      </c>
      <c r="F20" t="s">
        <v>142</v>
      </c>
      <c r="G20" t="s">
        <v>143</v>
      </c>
      <c r="H20">
        <v>33.770000000000003</v>
      </c>
      <c r="I20">
        <v>-100</v>
      </c>
      <c r="J20" t="s">
        <v>152</v>
      </c>
      <c r="K20" t="s">
        <v>153</v>
      </c>
      <c r="L20" t="s">
        <v>76</v>
      </c>
      <c r="M20" t="s">
        <v>77</v>
      </c>
      <c r="N20" t="s">
        <v>78</v>
      </c>
      <c r="O20">
        <v>72</v>
      </c>
      <c r="P20" t="s">
        <v>77</v>
      </c>
      <c r="Q20" t="s">
        <v>77</v>
      </c>
      <c r="R20" t="s">
        <v>77</v>
      </c>
      <c r="S20" t="s">
        <v>77</v>
      </c>
      <c r="T20" t="s">
        <v>77</v>
      </c>
      <c r="U20" t="s">
        <v>76</v>
      </c>
      <c r="V20" t="s">
        <v>76</v>
      </c>
      <c r="W20" t="s">
        <v>77</v>
      </c>
      <c r="X20" t="s">
        <v>76</v>
      </c>
      <c r="Y20" t="s">
        <v>76</v>
      </c>
      <c r="Z20" t="s">
        <v>93</v>
      </c>
      <c r="AA20">
        <v>340000</v>
      </c>
      <c r="AB20">
        <v>269000</v>
      </c>
      <c r="AC20">
        <v>269000</v>
      </c>
      <c r="AD20">
        <v>0.5</v>
      </c>
      <c r="AE20">
        <v>0.66400000000000003</v>
      </c>
      <c r="AF20">
        <v>26500</v>
      </c>
      <c r="AG20">
        <v>53000</v>
      </c>
    </row>
    <row r="21" spans="1:33" x14ac:dyDescent="0.2">
      <c r="A21" t="s">
        <v>154</v>
      </c>
      <c r="B21">
        <v>190</v>
      </c>
      <c r="C21">
        <v>5</v>
      </c>
      <c r="D21">
        <v>1</v>
      </c>
      <c r="E21" t="s">
        <v>71</v>
      </c>
      <c r="F21" t="s">
        <v>155</v>
      </c>
      <c r="G21" t="s">
        <v>138</v>
      </c>
      <c r="H21">
        <v>35.97</v>
      </c>
      <c r="I21">
        <v>-98.95</v>
      </c>
      <c r="J21" t="s">
        <v>156</v>
      </c>
      <c r="K21" t="s">
        <v>157</v>
      </c>
      <c r="L21" t="s">
        <v>76</v>
      </c>
      <c r="M21" t="s">
        <v>77</v>
      </c>
      <c r="N21" t="s">
        <v>78</v>
      </c>
      <c r="O21">
        <v>62</v>
      </c>
      <c r="P21" t="s">
        <v>76</v>
      </c>
      <c r="Q21" t="s">
        <v>77</v>
      </c>
      <c r="R21" t="s">
        <v>76</v>
      </c>
      <c r="S21" t="s">
        <v>76</v>
      </c>
      <c r="T21" t="s">
        <v>76</v>
      </c>
      <c r="U21" t="s">
        <v>76</v>
      </c>
      <c r="V21" t="s">
        <v>76</v>
      </c>
      <c r="W21" t="s">
        <v>76</v>
      </c>
      <c r="X21" t="s">
        <v>76</v>
      </c>
      <c r="Y21" t="s">
        <v>76</v>
      </c>
      <c r="Z21" t="s">
        <v>93</v>
      </c>
      <c r="AA21">
        <v>27000</v>
      </c>
      <c r="AB21">
        <v>15000</v>
      </c>
      <c r="AC21">
        <v>25000</v>
      </c>
      <c r="AD21">
        <v>1</v>
      </c>
      <c r="AE21">
        <v>0.50700000000000001</v>
      </c>
      <c r="AF21">
        <v>1000</v>
      </c>
      <c r="AG21">
        <v>2000</v>
      </c>
    </row>
    <row r="22" spans="1:33" x14ac:dyDescent="0.2">
      <c r="A22" t="s">
        <v>158</v>
      </c>
      <c r="B22">
        <v>210</v>
      </c>
      <c r="C22">
        <v>5</v>
      </c>
      <c r="D22">
        <v>1</v>
      </c>
      <c r="E22" t="s">
        <v>159</v>
      </c>
      <c r="F22" t="s">
        <v>155</v>
      </c>
      <c r="G22" t="s">
        <v>138</v>
      </c>
      <c r="H22">
        <v>35.97</v>
      </c>
      <c r="I22">
        <v>-98.95</v>
      </c>
      <c r="J22" t="s">
        <v>160</v>
      </c>
      <c r="K22" t="s">
        <v>161</v>
      </c>
      <c r="L22" t="s">
        <v>77</v>
      </c>
      <c r="M22" t="s">
        <v>76</v>
      </c>
      <c r="N22" t="s">
        <v>78</v>
      </c>
      <c r="O22">
        <v>62</v>
      </c>
      <c r="P22" t="s">
        <v>76</v>
      </c>
      <c r="Q22" t="s">
        <v>77</v>
      </c>
      <c r="R22" t="s">
        <v>76</v>
      </c>
      <c r="S22" t="s">
        <v>77</v>
      </c>
      <c r="T22" t="s">
        <v>76</v>
      </c>
      <c r="U22" t="s">
        <v>76</v>
      </c>
      <c r="V22" t="s">
        <v>77</v>
      </c>
      <c r="W22" t="s">
        <v>77</v>
      </c>
      <c r="X22" t="s">
        <v>77</v>
      </c>
      <c r="Y22" t="s">
        <v>76</v>
      </c>
      <c r="Z22" t="s">
        <v>162</v>
      </c>
      <c r="AA22">
        <v>27000</v>
      </c>
      <c r="AB22">
        <v>15000</v>
      </c>
      <c r="AC22">
        <v>20000</v>
      </c>
      <c r="AD22">
        <v>1</v>
      </c>
      <c r="AE22">
        <v>0.88900000000000001</v>
      </c>
      <c r="AF22">
        <v>1500</v>
      </c>
      <c r="AG22">
        <v>3000</v>
      </c>
    </row>
    <row r="23" spans="1:33" x14ac:dyDescent="0.2">
      <c r="A23" t="s">
        <v>163</v>
      </c>
      <c r="B23">
        <v>221</v>
      </c>
      <c r="C23">
        <v>5</v>
      </c>
      <c r="D23">
        <v>1</v>
      </c>
      <c r="E23" t="s">
        <v>164</v>
      </c>
      <c r="F23" t="s">
        <v>155</v>
      </c>
      <c r="G23" t="s">
        <v>138</v>
      </c>
      <c r="H23">
        <v>35.97</v>
      </c>
      <c r="I23">
        <v>-98.95</v>
      </c>
      <c r="J23" t="s">
        <v>165</v>
      </c>
      <c r="K23" t="s">
        <v>166</v>
      </c>
      <c r="L23" t="s">
        <v>76</v>
      </c>
      <c r="M23" t="s">
        <v>77</v>
      </c>
      <c r="N23" t="s">
        <v>78</v>
      </c>
      <c r="O23">
        <v>62</v>
      </c>
      <c r="P23" t="s">
        <v>77</v>
      </c>
      <c r="Q23" t="s">
        <v>77</v>
      </c>
      <c r="R23" t="s">
        <v>76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76</v>
      </c>
      <c r="Z23" t="s">
        <v>162</v>
      </c>
      <c r="AA23">
        <v>27000</v>
      </c>
      <c r="AB23">
        <v>15000</v>
      </c>
      <c r="AC23">
        <v>15000</v>
      </c>
      <c r="AD23">
        <v>1</v>
      </c>
      <c r="AE23">
        <v>0.80600000000000005</v>
      </c>
      <c r="AF23">
        <v>5000</v>
      </c>
      <c r="AG23">
        <v>5000</v>
      </c>
    </row>
    <row r="24" spans="1:33" x14ac:dyDescent="0.2">
      <c r="A24" t="s">
        <v>167</v>
      </c>
      <c r="B24">
        <v>229</v>
      </c>
      <c r="C24">
        <v>6</v>
      </c>
      <c r="D24">
        <v>1</v>
      </c>
      <c r="E24" t="s">
        <v>71</v>
      </c>
      <c r="F24" t="s">
        <v>168</v>
      </c>
      <c r="G24" t="s">
        <v>169</v>
      </c>
      <c r="H24">
        <v>33.880000000000003</v>
      </c>
      <c r="I24">
        <v>-93.57</v>
      </c>
      <c r="J24" t="s">
        <v>170</v>
      </c>
      <c r="K24" t="s">
        <v>171</v>
      </c>
      <c r="L24" t="s">
        <v>77</v>
      </c>
      <c r="M24" t="s">
        <v>77</v>
      </c>
      <c r="N24" t="s">
        <v>78</v>
      </c>
      <c r="O24">
        <v>11</v>
      </c>
      <c r="P24" t="s">
        <v>76</v>
      </c>
      <c r="Q24" t="s">
        <v>76</v>
      </c>
      <c r="R24" t="s">
        <v>76</v>
      </c>
      <c r="S24" t="s">
        <v>76</v>
      </c>
      <c r="T24" t="s">
        <v>76</v>
      </c>
      <c r="U24" t="s">
        <v>76</v>
      </c>
      <c r="V24" t="s">
        <v>77</v>
      </c>
      <c r="W24" t="s">
        <v>76</v>
      </c>
      <c r="X24" t="s">
        <v>76</v>
      </c>
      <c r="Y24" t="s">
        <v>76</v>
      </c>
      <c r="Z24" t="s">
        <v>93</v>
      </c>
      <c r="AA24">
        <v>867000</v>
      </c>
      <c r="AB24">
        <v>434000</v>
      </c>
      <c r="AC24">
        <v>728000</v>
      </c>
      <c r="AD24">
        <v>1</v>
      </c>
      <c r="AE24">
        <v>0.79300000000000004</v>
      </c>
      <c r="AF24">
        <v>139000</v>
      </c>
      <c r="AG24">
        <v>139000</v>
      </c>
    </row>
    <row r="25" spans="1:33" x14ac:dyDescent="0.2">
      <c r="A25" t="s">
        <v>172</v>
      </c>
      <c r="B25">
        <v>237</v>
      </c>
      <c r="C25">
        <v>6</v>
      </c>
      <c r="D25">
        <v>1</v>
      </c>
      <c r="E25" t="s">
        <v>81</v>
      </c>
      <c r="F25" t="s">
        <v>168</v>
      </c>
      <c r="G25" t="s">
        <v>169</v>
      </c>
      <c r="H25">
        <v>33.880000000000003</v>
      </c>
      <c r="I25">
        <v>-93.57</v>
      </c>
      <c r="J25" t="s">
        <v>173</v>
      </c>
      <c r="K25" t="s">
        <v>174</v>
      </c>
      <c r="L25" t="s">
        <v>76</v>
      </c>
      <c r="M25" t="s">
        <v>76</v>
      </c>
      <c r="N25" t="s">
        <v>78</v>
      </c>
      <c r="O25">
        <v>11</v>
      </c>
      <c r="P25" t="s">
        <v>77</v>
      </c>
      <c r="Q25" t="s">
        <v>76</v>
      </c>
      <c r="R25" t="s">
        <v>76</v>
      </c>
      <c r="S25" t="s">
        <v>76</v>
      </c>
      <c r="T25" t="s">
        <v>76</v>
      </c>
      <c r="U25" t="s">
        <v>76</v>
      </c>
      <c r="V25" t="s">
        <v>77</v>
      </c>
      <c r="W25" t="s">
        <v>77</v>
      </c>
      <c r="X25" t="s">
        <v>77</v>
      </c>
      <c r="Y25" t="s">
        <v>76</v>
      </c>
      <c r="Z25" t="s">
        <v>93</v>
      </c>
      <c r="AA25">
        <v>867000</v>
      </c>
      <c r="AB25">
        <v>434000</v>
      </c>
      <c r="AC25">
        <v>676000</v>
      </c>
      <c r="AD25">
        <v>0.5</v>
      </c>
      <c r="AE25">
        <v>0.88600000000000001</v>
      </c>
      <c r="AF25">
        <v>26000</v>
      </c>
      <c r="AG25">
        <v>52000</v>
      </c>
    </row>
    <row r="26" spans="1:33" x14ac:dyDescent="0.2">
      <c r="A26" t="s">
        <v>175</v>
      </c>
      <c r="B26">
        <v>238</v>
      </c>
      <c r="C26">
        <v>6</v>
      </c>
      <c r="D26">
        <v>1</v>
      </c>
      <c r="E26" t="s">
        <v>94</v>
      </c>
      <c r="F26" t="s">
        <v>168</v>
      </c>
      <c r="G26" t="s">
        <v>169</v>
      </c>
      <c r="H26">
        <v>33.880000000000003</v>
      </c>
      <c r="I26">
        <v>-93.57</v>
      </c>
      <c r="J26" t="s">
        <v>176</v>
      </c>
      <c r="K26" t="s">
        <v>177</v>
      </c>
      <c r="L26" t="s">
        <v>77</v>
      </c>
      <c r="M26" t="s">
        <v>76</v>
      </c>
      <c r="N26" t="s">
        <v>78</v>
      </c>
      <c r="O26">
        <v>11</v>
      </c>
      <c r="P26" t="s">
        <v>77</v>
      </c>
      <c r="Q26" t="s">
        <v>77</v>
      </c>
      <c r="R26" t="s">
        <v>76</v>
      </c>
      <c r="S26" t="s">
        <v>76</v>
      </c>
      <c r="T26" t="s">
        <v>77</v>
      </c>
      <c r="U26" t="s">
        <v>76</v>
      </c>
      <c r="V26" t="s">
        <v>77</v>
      </c>
      <c r="W26" t="s">
        <v>76</v>
      </c>
      <c r="X26" t="s">
        <v>77</v>
      </c>
      <c r="Y26" t="s">
        <v>76</v>
      </c>
      <c r="Z26" t="s">
        <v>97</v>
      </c>
      <c r="AA26">
        <v>867000</v>
      </c>
      <c r="AB26">
        <v>434000</v>
      </c>
      <c r="AC26">
        <v>676000</v>
      </c>
      <c r="AD26">
        <v>0.5</v>
      </c>
      <c r="AE26">
        <v>0.54800000000000004</v>
      </c>
      <c r="AF26">
        <v>17333</v>
      </c>
      <c r="AG26">
        <v>52000</v>
      </c>
    </row>
    <row r="27" spans="1:33" x14ac:dyDescent="0.2">
      <c r="A27" t="s">
        <v>178</v>
      </c>
      <c r="B27">
        <v>247</v>
      </c>
      <c r="C27">
        <v>6</v>
      </c>
      <c r="D27">
        <v>1</v>
      </c>
      <c r="E27" t="s">
        <v>179</v>
      </c>
      <c r="F27" t="s">
        <v>168</v>
      </c>
      <c r="G27" t="s">
        <v>169</v>
      </c>
      <c r="H27">
        <v>33.880000000000003</v>
      </c>
      <c r="I27">
        <v>-93.57</v>
      </c>
      <c r="J27" t="s">
        <v>149</v>
      </c>
      <c r="K27" t="s">
        <v>180</v>
      </c>
      <c r="L27" t="s">
        <v>76</v>
      </c>
      <c r="M27" t="s">
        <v>76</v>
      </c>
      <c r="N27" t="s">
        <v>78</v>
      </c>
      <c r="O27">
        <v>11</v>
      </c>
      <c r="P27" t="s">
        <v>76</v>
      </c>
      <c r="Q27" t="s">
        <v>77</v>
      </c>
      <c r="R27" t="s">
        <v>76</v>
      </c>
      <c r="S27" t="s">
        <v>76</v>
      </c>
      <c r="T27" t="s">
        <v>77</v>
      </c>
      <c r="U27" t="s">
        <v>76</v>
      </c>
      <c r="V27" t="s">
        <v>76</v>
      </c>
      <c r="W27" t="s">
        <v>76</v>
      </c>
      <c r="X27" t="s">
        <v>76</v>
      </c>
      <c r="Y27" t="s">
        <v>77</v>
      </c>
      <c r="Z27" t="s">
        <v>162</v>
      </c>
      <c r="AA27">
        <v>867000</v>
      </c>
      <c r="AB27">
        <v>434000</v>
      </c>
      <c r="AC27">
        <v>591000</v>
      </c>
      <c r="AD27">
        <v>1</v>
      </c>
      <c r="AE27">
        <v>0.65500000000000003</v>
      </c>
      <c r="AF27">
        <v>85000</v>
      </c>
      <c r="AG27">
        <v>85000</v>
      </c>
    </row>
    <row r="28" spans="1:33" x14ac:dyDescent="0.2">
      <c r="A28" t="s">
        <v>181</v>
      </c>
      <c r="B28">
        <v>259</v>
      </c>
      <c r="C28">
        <v>6</v>
      </c>
      <c r="D28">
        <v>1</v>
      </c>
      <c r="E28" t="s">
        <v>182</v>
      </c>
      <c r="F28" t="s">
        <v>168</v>
      </c>
      <c r="G28" t="s">
        <v>169</v>
      </c>
      <c r="H28">
        <v>33.880000000000003</v>
      </c>
      <c r="I28">
        <v>-93.57</v>
      </c>
      <c r="J28" t="s">
        <v>183</v>
      </c>
      <c r="K28" t="s">
        <v>184</v>
      </c>
      <c r="L28" t="s">
        <v>77</v>
      </c>
      <c r="M28" t="s">
        <v>77</v>
      </c>
      <c r="N28" t="s">
        <v>78</v>
      </c>
      <c r="O28">
        <v>11</v>
      </c>
      <c r="P28" t="s">
        <v>76</v>
      </c>
      <c r="Q28" t="s">
        <v>76</v>
      </c>
      <c r="R28" t="s">
        <v>76</v>
      </c>
      <c r="S28" t="s">
        <v>77</v>
      </c>
      <c r="T28" t="s">
        <v>76</v>
      </c>
      <c r="U28" t="s">
        <v>76</v>
      </c>
      <c r="V28" t="s">
        <v>76</v>
      </c>
      <c r="W28" t="s">
        <v>76</v>
      </c>
      <c r="X28" t="s">
        <v>76</v>
      </c>
      <c r="Y28" t="s">
        <v>76</v>
      </c>
      <c r="Z28" t="s">
        <v>97</v>
      </c>
      <c r="AA28">
        <v>867000</v>
      </c>
      <c r="AB28">
        <v>434000</v>
      </c>
      <c r="AC28">
        <v>540000</v>
      </c>
      <c r="AD28">
        <v>1</v>
      </c>
      <c r="AE28">
        <v>0.77700000000000002</v>
      </c>
      <c r="AF28">
        <v>25500</v>
      </c>
      <c r="AG28">
        <v>51000</v>
      </c>
    </row>
    <row r="29" spans="1:33" x14ac:dyDescent="0.2">
      <c r="A29" t="s">
        <v>185</v>
      </c>
      <c r="B29">
        <v>280</v>
      </c>
      <c r="C29">
        <v>7</v>
      </c>
      <c r="D29">
        <v>1</v>
      </c>
      <c r="E29" t="s">
        <v>71</v>
      </c>
      <c r="F29" t="s">
        <v>186</v>
      </c>
      <c r="G29" t="s">
        <v>143</v>
      </c>
      <c r="H29">
        <v>37.57</v>
      </c>
      <c r="I29">
        <v>-85.8</v>
      </c>
      <c r="J29" t="s">
        <v>187</v>
      </c>
      <c r="K29" t="s">
        <v>188</v>
      </c>
      <c r="L29" t="s">
        <v>76</v>
      </c>
      <c r="M29" t="s">
        <v>76</v>
      </c>
      <c r="N29" t="s">
        <v>78</v>
      </c>
      <c r="O29">
        <v>92</v>
      </c>
      <c r="P29" t="s">
        <v>76</v>
      </c>
      <c r="Q29" t="s">
        <v>77</v>
      </c>
      <c r="R29" t="s">
        <v>77</v>
      </c>
      <c r="S29" t="s">
        <v>77</v>
      </c>
      <c r="T29" t="s">
        <v>77</v>
      </c>
      <c r="U29" t="s">
        <v>76</v>
      </c>
      <c r="V29" t="s">
        <v>76</v>
      </c>
      <c r="W29" t="s">
        <v>77</v>
      </c>
      <c r="X29" t="s">
        <v>76</v>
      </c>
      <c r="Y29" t="s">
        <v>77</v>
      </c>
      <c r="Z29" t="s">
        <v>79</v>
      </c>
      <c r="AA29">
        <v>14000</v>
      </c>
      <c r="AB29">
        <v>5000</v>
      </c>
      <c r="AC29">
        <v>11000</v>
      </c>
      <c r="AD29">
        <v>1</v>
      </c>
      <c r="AE29">
        <v>0.83699999999999997</v>
      </c>
      <c r="AF29">
        <v>1500</v>
      </c>
      <c r="AG29">
        <v>3000</v>
      </c>
    </row>
    <row r="30" spans="1:33" x14ac:dyDescent="0.2">
      <c r="A30" t="s">
        <v>189</v>
      </c>
      <c r="B30">
        <v>289</v>
      </c>
      <c r="C30">
        <v>7</v>
      </c>
      <c r="D30">
        <v>1</v>
      </c>
      <c r="E30" t="s">
        <v>190</v>
      </c>
      <c r="F30" t="s">
        <v>186</v>
      </c>
      <c r="G30" t="s">
        <v>143</v>
      </c>
      <c r="H30">
        <v>37.57</v>
      </c>
      <c r="I30">
        <v>-85.8</v>
      </c>
      <c r="J30" t="s">
        <v>191</v>
      </c>
      <c r="K30" t="s">
        <v>192</v>
      </c>
      <c r="L30" t="s">
        <v>77</v>
      </c>
      <c r="M30" t="s">
        <v>76</v>
      </c>
      <c r="N30" t="s">
        <v>78</v>
      </c>
      <c r="O30">
        <v>92</v>
      </c>
      <c r="P30" t="s">
        <v>77</v>
      </c>
      <c r="Q30" t="s">
        <v>77</v>
      </c>
      <c r="R30" t="s">
        <v>77</v>
      </c>
      <c r="S30" t="s">
        <v>76</v>
      </c>
      <c r="T30" t="s">
        <v>76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162</v>
      </c>
      <c r="AA30">
        <v>14000</v>
      </c>
      <c r="AB30">
        <v>5000</v>
      </c>
      <c r="AC30">
        <v>8000</v>
      </c>
      <c r="AD30">
        <v>1</v>
      </c>
      <c r="AE30">
        <v>0.81499999999999995</v>
      </c>
      <c r="AF30">
        <v>1500</v>
      </c>
      <c r="AG30">
        <v>3000</v>
      </c>
    </row>
    <row r="31" spans="1:33" x14ac:dyDescent="0.2">
      <c r="A31" t="s">
        <v>193</v>
      </c>
      <c r="B31">
        <v>321</v>
      </c>
      <c r="C31">
        <v>7</v>
      </c>
      <c r="D31">
        <v>1</v>
      </c>
      <c r="E31" t="s">
        <v>194</v>
      </c>
      <c r="F31" t="s">
        <v>186</v>
      </c>
      <c r="G31" t="s">
        <v>143</v>
      </c>
      <c r="H31">
        <v>37.57</v>
      </c>
      <c r="I31">
        <v>-85.8</v>
      </c>
      <c r="J31" t="s">
        <v>195</v>
      </c>
      <c r="K31" t="s">
        <v>196</v>
      </c>
      <c r="L31" t="s">
        <v>76</v>
      </c>
      <c r="M31" t="s">
        <v>76</v>
      </c>
      <c r="N31" t="s">
        <v>78</v>
      </c>
      <c r="O31">
        <v>92</v>
      </c>
      <c r="P31" t="s">
        <v>76</v>
      </c>
      <c r="Q31" t="s">
        <v>76</v>
      </c>
      <c r="R31" t="s">
        <v>77</v>
      </c>
      <c r="S31" t="s">
        <v>76</v>
      </c>
      <c r="T31" t="s">
        <v>76</v>
      </c>
      <c r="U31" t="s">
        <v>76</v>
      </c>
      <c r="V31" t="s">
        <v>76</v>
      </c>
      <c r="W31" t="s">
        <v>76</v>
      </c>
      <c r="X31" t="s">
        <v>76</v>
      </c>
      <c r="Y31" t="s">
        <v>76</v>
      </c>
      <c r="Z31" t="s">
        <v>93</v>
      </c>
      <c r="AA31">
        <v>14000</v>
      </c>
      <c r="AB31">
        <v>5000</v>
      </c>
      <c r="AC31">
        <v>6000</v>
      </c>
      <c r="AD31">
        <v>1</v>
      </c>
      <c r="AE31">
        <v>0.67600000000000005</v>
      </c>
      <c r="AF31">
        <v>500</v>
      </c>
      <c r="AG31">
        <v>1000</v>
      </c>
    </row>
    <row r="32" spans="1:33" x14ac:dyDescent="0.2">
      <c r="A32" t="s">
        <v>197</v>
      </c>
      <c r="B32">
        <v>344</v>
      </c>
      <c r="C32">
        <v>8</v>
      </c>
      <c r="D32">
        <v>1</v>
      </c>
      <c r="E32" t="s">
        <v>71</v>
      </c>
      <c r="F32" t="s">
        <v>198</v>
      </c>
      <c r="G32" t="s">
        <v>169</v>
      </c>
      <c r="H32">
        <v>36.33</v>
      </c>
      <c r="I32">
        <v>-112.8</v>
      </c>
      <c r="J32" t="s">
        <v>199</v>
      </c>
      <c r="K32" t="s">
        <v>200</v>
      </c>
      <c r="L32" t="s">
        <v>77</v>
      </c>
      <c r="M32" t="s">
        <v>76</v>
      </c>
      <c r="N32" t="s">
        <v>78</v>
      </c>
      <c r="O32">
        <v>52</v>
      </c>
      <c r="P32" t="s">
        <v>77</v>
      </c>
      <c r="Q32" t="s">
        <v>76</v>
      </c>
      <c r="R32" t="s">
        <v>76</v>
      </c>
      <c r="S32" t="s">
        <v>77</v>
      </c>
      <c r="T32" t="s">
        <v>76</v>
      </c>
      <c r="U32" t="s">
        <v>77</v>
      </c>
      <c r="V32" t="s">
        <v>76</v>
      </c>
      <c r="W32" t="s">
        <v>77</v>
      </c>
      <c r="X32" t="s">
        <v>77</v>
      </c>
      <c r="Y32" t="s">
        <v>76</v>
      </c>
      <c r="Z32" t="s">
        <v>93</v>
      </c>
      <c r="AA32">
        <v>167000</v>
      </c>
      <c r="AB32">
        <v>143000</v>
      </c>
      <c r="AC32">
        <v>143000</v>
      </c>
      <c r="AD32">
        <v>1</v>
      </c>
      <c r="AE32">
        <v>0.62</v>
      </c>
      <c r="AF32">
        <v>12000</v>
      </c>
      <c r="AG32">
        <v>24000</v>
      </c>
    </row>
    <row r="33" spans="1:33" x14ac:dyDescent="0.2">
      <c r="A33" t="s">
        <v>201</v>
      </c>
      <c r="B33">
        <v>354</v>
      </c>
      <c r="C33">
        <v>9</v>
      </c>
      <c r="D33">
        <v>1</v>
      </c>
      <c r="E33" t="s">
        <v>71</v>
      </c>
      <c r="F33" t="s">
        <v>202</v>
      </c>
      <c r="G33" t="s">
        <v>203</v>
      </c>
      <c r="H33">
        <v>34.18</v>
      </c>
      <c r="I33">
        <v>-80.790000000000006</v>
      </c>
      <c r="J33" t="s">
        <v>204</v>
      </c>
      <c r="K33" t="s">
        <v>205</v>
      </c>
      <c r="L33" t="s">
        <v>77</v>
      </c>
      <c r="M33" t="s">
        <v>76</v>
      </c>
      <c r="N33" t="s">
        <v>78</v>
      </c>
      <c r="O33">
        <v>61</v>
      </c>
      <c r="P33" t="s">
        <v>76</v>
      </c>
      <c r="Q33" t="s">
        <v>76</v>
      </c>
      <c r="R33" t="s">
        <v>77</v>
      </c>
      <c r="S33" t="s">
        <v>77</v>
      </c>
      <c r="T33" t="s">
        <v>76</v>
      </c>
      <c r="U33" t="s">
        <v>76</v>
      </c>
      <c r="V33" t="s">
        <v>76</v>
      </c>
      <c r="W33" t="s">
        <v>76</v>
      </c>
      <c r="X33" t="s">
        <v>76</v>
      </c>
      <c r="Y33" t="s">
        <v>76</v>
      </c>
      <c r="Z33" t="s">
        <v>93</v>
      </c>
      <c r="AA33">
        <v>127000</v>
      </c>
      <c r="AB33">
        <v>46000</v>
      </c>
      <c r="AC33">
        <v>102000</v>
      </c>
      <c r="AD33">
        <v>1</v>
      </c>
      <c r="AE33">
        <v>0.53700000000000003</v>
      </c>
      <c r="AF33">
        <v>12500</v>
      </c>
      <c r="AG33">
        <v>25000</v>
      </c>
    </row>
    <row r="34" spans="1:33" x14ac:dyDescent="0.2">
      <c r="A34" t="s">
        <v>206</v>
      </c>
      <c r="B34">
        <v>363</v>
      </c>
      <c r="C34">
        <v>9</v>
      </c>
      <c r="D34">
        <v>1</v>
      </c>
      <c r="E34" t="s">
        <v>190</v>
      </c>
      <c r="F34" t="s">
        <v>202</v>
      </c>
      <c r="G34" t="s">
        <v>203</v>
      </c>
      <c r="H34">
        <v>34.18</v>
      </c>
      <c r="I34">
        <v>-80.790000000000006</v>
      </c>
      <c r="J34" t="s">
        <v>207</v>
      </c>
      <c r="K34" t="s">
        <v>208</v>
      </c>
      <c r="L34" t="s">
        <v>76</v>
      </c>
      <c r="M34" t="s">
        <v>77</v>
      </c>
      <c r="N34" t="s">
        <v>78</v>
      </c>
      <c r="O34">
        <v>61</v>
      </c>
      <c r="P34" t="s">
        <v>76</v>
      </c>
      <c r="Q34" t="s">
        <v>76</v>
      </c>
      <c r="R34" t="s">
        <v>77</v>
      </c>
      <c r="S34" t="s">
        <v>77</v>
      </c>
      <c r="T34" t="s">
        <v>77</v>
      </c>
      <c r="U34" t="s">
        <v>76</v>
      </c>
      <c r="V34" t="s">
        <v>76</v>
      </c>
      <c r="W34" t="s">
        <v>76</v>
      </c>
      <c r="X34" t="s">
        <v>77</v>
      </c>
      <c r="Y34" t="s">
        <v>76</v>
      </c>
      <c r="Z34" t="s">
        <v>93</v>
      </c>
      <c r="AA34">
        <v>127000</v>
      </c>
      <c r="AB34">
        <v>46000</v>
      </c>
      <c r="AC34">
        <v>81000</v>
      </c>
      <c r="AD34">
        <v>1</v>
      </c>
      <c r="AE34">
        <v>0.79800000000000004</v>
      </c>
      <c r="AF34">
        <v>10500</v>
      </c>
      <c r="AG34">
        <v>21000</v>
      </c>
    </row>
    <row r="35" spans="1:33" x14ac:dyDescent="0.2">
      <c r="A35" t="s">
        <v>209</v>
      </c>
      <c r="B35">
        <v>386</v>
      </c>
      <c r="C35">
        <v>9</v>
      </c>
      <c r="D35">
        <v>1</v>
      </c>
      <c r="E35" t="s">
        <v>210</v>
      </c>
      <c r="F35" t="s">
        <v>202</v>
      </c>
      <c r="G35" t="s">
        <v>203</v>
      </c>
      <c r="H35">
        <v>34.18</v>
      </c>
      <c r="I35">
        <v>-80.790000000000006</v>
      </c>
      <c r="J35" t="s">
        <v>211</v>
      </c>
      <c r="K35" t="s">
        <v>212</v>
      </c>
      <c r="L35" t="s">
        <v>76</v>
      </c>
      <c r="M35" t="s">
        <v>77</v>
      </c>
      <c r="N35" t="s">
        <v>78</v>
      </c>
      <c r="O35">
        <v>61</v>
      </c>
      <c r="P35" t="s">
        <v>77</v>
      </c>
      <c r="Q35" t="s">
        <v>76</v>
      </c>
      <c r="R35" t="s">
        <v>76</v>
      </c>
      <c r="S35" t="s">
        <v>77</v>
      </c>
      <c r="T35" t="s">
        <v>76</v>
      </c>
      <c r="U35" t="s">
        <v>77</v>
      </c>
      <c r="V35" t="s">
        <v>76</v>
      </c>
      <c r="W35" t="s">
        <v>76</v>
      </c>
      <c r="X35" t="s">
        <v>77</v>
      </c>
      <c r="Y35" t="s">
        <v>76</v>
      </c>
      <c r="Z35" t="s">
        <v>93</v>
      </c>
      <c r="AA35">
        <v>127000</v>
      </c>
      <c r="AB35">
        <v>46000</v>
      </c>
      <c r="AC35">
        <v>46000</v>
      </c>
      <c r="AD35">
        <v>1</v>
      </c>
      <c r="AE35">
        <v>0.55400000000000005</v>
      </c>
      <c r="AF35">
        <v>11000</v>
      </c>
      <c r="AG35">
        <v>11000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"/>
  <sheetViews>
    <sheetView workbookViewId="0"/>
  </sheetViews>
  <sheetFormatPr baseColWidth="10" defaultColWidth="8.83203125" defaultRowHeight="15" x14ac:dyDescent="0.2"/>
  <sheetData>
    <row r="1" spans="1:23" x14ac:dyDescent="0.2">
      <c r="B1" t="s">
        <v>213</v>
      </c>
      <c r="C1" t="s">
        <v>214</v>
      </c>
      <c r="D1" t="s">
        <v>17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2">
      <c r="A2" t="s">
        <v>215</v>
      </c>
      <c r="B2">
        <v>0</v>
      </c>
      <c r="C2">
        <v>15000000</v>
      </c>
      <c r="D2">
        <v>2.1100000000000001E-2</v>
      </c>
      <c r="E2">
        <v>1.49E-3</v>
      </c>
      <c r="F2">
        <v>1.09E-2</v>
      </c>
      <c r="G2">
        <v>2.53E-2</v>
      </c>
      <c r="H2">
        <v>1.33E-3</v>
      </c>
      <c r="I2">
        <v>9.9399999999999992E-3</v>
      </c>
      <c r="J2">
        <v>3.2500000000000001E-2</v>
      </c>
      <c r="K2">
        <v>2.7199999999999998E-2</v>
      </c>
      <c r="L2">
        <v>1.0999999999999999E-2</v>
      </c>
      <c r="M2">
        <v>2.9499999999999998E-2</v>
      </c>
      <c r="N2">
        <v>4.0500000000000001E-2</v>
      </c>
      <c r="O2">
        <v>3.2499999999999999E-4</v>
      </c>
      <c r="P2">
        <v>4.0300000000000002E-2</v>
      </c>
      <c r="Q2">
        <v>3.49E-2</v>
      </c>
      <c r="R2">
        <v>1.7000000000000001E-2</v>
      </c>
      <c r="S2">
        <v>7.77E-3</v>
      </c>
      <c r="T2">
        <v>4.7899999999999998E-2</v>
      </c>
      <c r="U2">
        <v>3.3700000000000001E-2</v>
      </c>
      <c r="V2">
        <v>4.64E-3</v>
      </c>
      <c r="W2">
        <v>4.8399999999999997E-3</v>
      </c>
    </row>
    <row r="3" spans="1:23" x14ac:dyDescent="0.2">
      <c r="A3" t="s">
        <v>216</v>
      </c>
      <c r="B3">
        <v>1</v>
      </c>
      <c r="C3">
        <v>143000000</v>
      </c>
      <c r="D3">
        <v>3.5200000000000002E-2</v>
      </c>
      <c r="E3">
        <v>2.2899999999999999E-3</v>
      </c>
      <c r="F3">
        <v>1.14E-2</v>
      </c>
      <c r="G3">
        <v>1.4500000000000001E-2</v>
      </c>
      <c r="H3">
        <v>3.9899999999999996E-3</v>
      </c>
      <c r="I3">
        <v>1.1599999999999999E-2</v>
      </c>
      <c r="J3">
        <v>5.0499999999999998E-3</v>
      </c>
      <c r="K3">
        <v>1.3899999999999999E-2</v>
      </c>
      <c r="L3">
        <v>3.1800000000000002E-2</v>
      </c>
      <c r="M3">
        <v>1.8200000000000001E-2</v>
      </c>
      <c r="N3">
        <v>1.8499999999999999E-2</v>
      </c>
      <c r="O3">
        <v>2.1000000000000001E-2</v>
      </c>
      <c r="P3">
        <v>1.3299999999999999E-2</v>
      </c>
      <c r="Q3">
        <v>4.6800000000000001E-2</v>
      </c>
      <c r="R3">
        <v>3.2399999999999998E-2</v>
      </c>
      <c r="S3">
        <v>3.0499999999999999E-2</v>
      </c>
      <c r="T3">
        <v>8.5599999999999999E-3</v>
      </c>
      <c r="U3">
        <v>3.6499999999999998E-2</v>
      </c>
      <c r="V3">
        <v>8.1700000000000002E-3</v>
      </c>
      <c r="W3">
        <v>1.9E-2</v>
      </c>
    </row>
    <row r="4" spans="1:23" x14ac:dyDescent="0.2">
      <c r="A4" t="s">
        <v>217</v>
      </c>
      <c r="B4">
        <v>2</v>
      </c>
      <c r="C4">
        <v>27000000</v>
      </c>
      <c r="D4">
        <v>2.5000000000000001E-2</v>
      </c>
      <c r="E4">
        <v>4.4200000000000003E-2</v>
      </c>
      <c r="F4">
        <v>3.2099999999999997E-2</v>
      </c>
      <c r="G4">
        <v>7.1399999999999996E-3</v>
      </c>
      <c r="H4">
        <v>6.9800000000000001E-3</v>
      </c>
      <c r="I4">
        <v>3.7199999999999997E-2</v>
      </c>
      <c r="J4">
        <v>2.69E-2</v>
      </c>
      <c r="K4">
        <v>3.7400000000000003E-2</v>
      </c>
      <c r="L4">
        <v>2.1399999999999999E-2</v>
      </c>
      <c r="M4">
        <v>2.92E-2</v>
      </c>
      <c r="N4">
        <v>3.6200000000000003E-2</v>
      </c>
      <c r="O4">
        <v>4.99E-2</v>
      </c>
      <c r="P4">
        <v>6.9199999999999999E-3</v>
      </c>
      <c r="Q4">
        <v>2.47E-2</v>
      </c>
      <c r="R4">
        <v>3.78E-2</v>
      </c>
      <c r="S4">
        <v>4.3099999999999999E-2</v>
      </c>
      <c r="T4">
        <v>7.6400000000000001E-3</v>
      </c>
      <c r="U4">
        <v>8.0000000000000002E-3</v>
      </c>
      <c r="V4">
        <v>3.4000000000000002E-2</v>
      </c>
      <c r="W4">
        <v>2.98E-2</v>
      </c>
    </row>
    <row r="5" spans="1:23" x14ac:dyDescent="0.2">
      <c r="A5" t="s">
        <v>218</v>
      </c>
      <c r="B5">
        <v>3</v>
      </c>
      <c r="C5">
        <v>17000000</v>
      </c>
      <c r="D5">
        <v>2.1700000000000001E-2</v>
      </c>
      <c r="E5">
        <v>2.2700000000000001E-2</v>
      </c>
      <c r="F5">
        <v>4.7699999999999999E-2</v>
      </c>
      <c r="G5">
        <v>4.3799999999999999E-2</v>
      </c>
      <c r="H5">
        <v>1.32E-2</v>
      </c>
      <c r="I5">
        <v>2.5000000000000001E-2</v>
      </c>
      <c r="J5">
        <v>8.9300000000000004E-3</v>
      </c>
      <c r="K5">
        <v>4.5600000000000002E-2</v>
      </c>
      <c r="L5">
        <v>4.3499999999999997E-2</v>
      </c>
      <c r="M5">
        <v>1.49E-2</v>
      </c>
      <c r="N5">
        <v>6.3899999999999998E-2</v>
      </c>
      <c r="O5">
        <v>3.04E-2</v>
      </c>
      <c r="P5">
        <v>7.6400000000000001E-3</v>
      </c>
      <c r="Q5">
        <v>3.8100000000000002E-2</v>
      </c>
      <c r="R5">
        <v>2.7E-2</v>
      </c>
      <c r="S5">
        <v>3.8899999999999997E-2</v>
      </c>
      <c r="T5">
        <v>2.6499999999999999E-2</v>
      </c>
      <c r="U5">
        <v>2.8600000000000001E-5</v>
      </c>
      <c r="V5">
        <v>1.6199999999999999E-2</v>
      </c>
      <c r="W5">
        <v>9.7400000000000004E-4</v>
      </c>
    </row>
    <row r="6" spans="1:23" x14ac:dyDescent="0.2">
      <c r="A6" t="s">
        <v>219</v>
      </c>
      <c r="B6">
        <v>4</v>
      </c>
      <c r="C6">
        <v>340000000</v>
      </c>
      <c r="D6">
        <v>6.4200000000000004E-3</v>
      </c>
      <c r="E6">
        <v>2.3800000000000002E-2</v>
      </c>
      <c r="F6">
        <v>2.75E-2</v>
      </c>
      <c r="G6">
        <v>1.3299999999999999E-2</v>
      </c>
      <c r="H6">
        <v>4.36E-2</v>
      </c>
      <c r="I6">
        <v>2.12E-2</v>
      </c>
      <c r="J6">
        <v>1.06E-2</v>
      </c>
      <c r="K6">
        <v>2.7E-2</v>
      </c>
      <c r="L6">
        <v>3.6499999999999998E-2</v>
      </c>
      <c r="M6">
        <v>1.01E-2</v>
      </c>
      <c r="N6">
        <v>1.5599999999999999E-2</v>
      </c>
      <c r="O6">
        <v>4.9799999999999997E-2</v>
      </c>
      <c r="P6">
        <v>3.2500000000000001E-2</v>
      </c>
      <c r="Q6">
        <v>2.1899999999999999E-2</v>
      </c>
      <c r="R6">
        <v>2.5899999999999999E-2</v>
      </c>
      <c r="S6">
        <v>6.0499999999999998E-3</v>
      </c>
      <c r="T6">
        <v>1.12E-2</v>
      </c>
      <c r="U6">
        <v>3.3799999999999997E-2</v>
      </c>
      <c r="V6">
        <v>2.9399999999999999E-2</v>
      </c>
      <c r="W6">
        <v>1.15E-2</v>
      </c>
    </row>
    <row r="7" spans="1:23" x14ac:dyDescent="0.2">
      <c r="A7" t="s">
        <v>220</v>
      </c>
      <c r="B7">
        <v>5</v>
      </c>
      <c r="C7">
        <v>27000000</v>
      </c>
      <c r="D7">
        <v>6.62E-3</v>
      </c>
      <c r="E7">
        <v>4.6800000000000001E-2</v>
      </c>
      <c r="F7">
        <v>2.86E-2</v>
      </c>
      <c r="G7">
        <v>2.3599999999999999E-2</v>
      </c>
      <c r="H7">
        <v>3.9199999999999999E-2</v>
      </c>
      <c r="I7">
        <v>4.0399999999999998E-2</v>
      </c>
      <c r="J7">
        <v>9.5200000000000007E-3</v>
      </c>
      <c r="K7">
        <v>4.8500000000000001E-3</v>
      </c>
      <c r="L7">
        <v>2.1600000000000001E-2</v>
      </c>
      <c r="M7">
        <v>2.12E-2</v>
      </c>
      <c r="N7">
        <v>2.3400000000000001E-2</v>
      </c>
      <c r="O7">
        <v>3.6499999999999998E-2</v>
      </c>
      <c r="P7">
        <v>3.3700000000000001E-2</v>
      </c>
      <c r="Q7">
        <v>4.9200000000000001E-2</v>
      </c>
      <c r="R7">
        <v>4.9199999999999999E-3</v>
      </c>
      <c r="S7">
        <v>4.0300000000000002E-2</v>
      </c>
      <c r="T7">
        <v>1.7000000000000001E-2</v>
      </c>
      <c r="U7">
        <v>4.3099999999999999E-2</v>
      </c>
      <c r="V7">
        <v>1.24E-2</v>
      </c>
      <c r="W7">
        <v>9.5099999999999994E-3</v>
      </c>
    </row>
    <row r="8" spans="1:23" x14ac:dyDescent="0.2">
      <c r="A8" t="s">
        <v>221</v>
      </c>
      <c r="B8">
        <v>6</v>
      </c>
      <c r="C8">
        <v>867000000</v>
      </c>
      <c r="D8">
        <v>9.2600000000000002E-2</v>
      </c>
      <c r="E8">
        <v>4.24E-2</v>
      </c>
      <c r="F8">
        <v>8.3199999999999993E-3</v>
      </c>
      <c r="G8">
        <v>2.4299999999999999E-2</v>
      </c>
      <c r="H8">
        <v>1.0699999999999999E-2</v>
      </c>
      <c r="I8">
        <v>2.01E-2</v>
      </c>
      <c r="J8">
        <v>2.9299999999999999E-3</v>
      </c>
      <c r="K8">
        <v>1.89E-2</v>
      </c>
      <c r="L8">
        <v>4.9299999999999997E-2</v>
      </c>
      <c r="M8">
        <v>1.3299999999999999E-2</v>
      </c>
      <c r="N8">
        <v>3.9199999999999999E-2</v>
      </c>
      <c r="O8">
        <v>2.2800000000000001E-2</v>
      </c>
      <c r="P8">
        <v>2.12E-2</v>
      </c>
      <c r="Q8">
        <v>4.7899999999999998E-2</v>
      </c>
      <c r="R8">
        <v>4.9799999999999997E-2</v>
      </c>
      <c r="S8">
        <v>2.7799999999999998E-2</v>
      </c>
      <c r="T8">
        <v>3.5900000000000001E-2</v>
      </c>
      <c r="U8">
        <v>7.7400000000000004E-3</v>
      </c>
      <c r="V8">
        <v>1.4800000000000001E-2</v>
      </c>
      <c r="W8">
        <v>4.8399999999999999E-2</v>
      </c>
    </row>
    <row r="9" spans="1:23" x14ac:dyDescent="0.2">
      <c r="A9" t="s">
        <v>222</v>
      </c>
      <c r="B9">
        <v>7</v>
      </c>
      <c r="C9">
        <v>14000000</v>
      </c>
      <c r="D9">
        <v>4.3099999999999999E-2</v>
      </c>
      <c r="E9">
        <v>2.0199999999999999E-2</v>
      </c>
      <c r="F9">
        <v>4.7100000000000003E-2</v>
      </c>
      <c r="G9">
        <v>2.8500000000000001E-2</v>
      </c>
      <c r="H9">
        <v>2.8899999999999999E-2</v>
      </c>
      <c r="I9">
        <v>1.99E-3</v>
      </c>
      <c r="J9">
        <v>4.1000000000000003E-3</v>
      </c>
      <c r="K9">
        <v>3.2899999999999999E-2</v>
      </c>
      <c r="L9">
        <v>2.8299999999999999E-2</v>
      </c>
      <c r="M9">
        <v>1.5800000000000002E-2</v>
      </c>
      <c r="N9">
        <v>1.2999999999999999E-2</v>
      </c>
      <c r="O9">
        <v>3.3500000000000002E-2</v>
      </c>
      <c r="P9">
        <v>1.5699999999999999E-2</v>
      </c>
      <c r="Q9">
        <v>1.3299999999999999E-2</v>
      </c>
      <c r="R9">
        <v>6.5399999999999998E-3</v>
      </c>
      <c r="S9">
        <v>3.2300000000000002E-2</v>
      </c>
      <c r="T9">
        <v>2.29E-2</v>
      </c>
      <c r="U9">
        <v>4.65E-2</v>
      </c>
      <c r="V9">
        <v>4.6800000000000001E-2</v>
      </c>
      <c r="W9">
        <v>9.3199999999999999E-4</v>
      </c>
    </row>
    <row r="10" spans="1:23" x14ac:dyDescent="0.2">
      <c r="A10" t="s">
        <v>223</v>
      </c>
      <c r="B10">
        <v>8</v>
      </c>
      <c r="C10">
        <v>167000000</v>
      </c>
      <c r="D10">
        <v>4.9399999999999999E-2</v>
      </c>
      <c r="E10">
        <v>3.27E-2</v>
      </c>
      <c r="F10">
        <v>3.9100000000000002E-4</v>
      </c>
      <c r="G10">
        <v>4.0899999999999999E-2</v>
      </c>
      <c r="H10">
        <v>1.4999999999999999E-2</v>
      </c>
      <c r="I10">
        <v>3.32E-2</v>
      </c>
      <c r="J10">
        <v>4.6899999999999997E-2</v>
      </c>
      <c r="K10">
        <v>6.7099999999999998E-3</v>
      </c>
      <c r="L10">
        <v>5.77E-3</v>
      </c>
      <c r="M10">
        <v>1.0699999999999999E-2</v>
      </c>
      <c r="N10">
        <v>2.7699999999999999E-2</v>
      </c>
      <c r="O10">
        <v>1.3599999999999999E-2</v>
      </c>
      <c r="P10">
        <v>3.0200000000000001E-2</v>
      </c>
      <c r="Q10">
        <v>3.5900000000000001E-2</v>
      </c>
      <c r="R10">
        <v>1.0200000000000001E-2</v>
      </c>
      <c r="S10">
        <v>3.1699999999999999E-2</v>
      </c>
      <c r="T10">
        <v>1.32E-2</v>
      </c>
      <c r="U10">
        <v>2.4400000000000002E-2</v>
      </c>
      <c r="V10">
        <v>4.53E-2</v>
      </c>
      <c r="W10">
        <v>4.2299999999999997E-2</v>
      </c>
    </row>
    <row r="11" spans="1:23" x14ac:dyDescent="0.2">
      <c r="A11" t="s">
        <v>224</v>
      </c>
      <c r="B11">
        <v>9</v>
      </c>
      <c r="C11">
        <v>127000000</v>
      </c>
      <c r="D11">
        <v>2.1399999999999999E-2</v>
      </c>
      <c r="E11">
        <v>4.8299999999999998E-4</v>
      </c>
      <c r="F11">
        <v>3.7599999999999999E-3</v>
      </c>
      <c r="G11">
        <v>4.4200000000000003E-2</v>
      </c>
      <c r="H11">
        <v>4.5199999999999997E-2</v>
      </c>
      <c r="I11">
        <v>2.7300000000000001E-2</v>
      </c>
      <c r="J11">
        <v>4.1700000000000001E-2</v>
      </c>
      <c r="K11">
        <v>2.9100000000000001E-2</v>
      </c>
      <c r="L11">
        <v>7.4000000000000003E-3</v>
      </c>
      <c r="M11">
        <v>6.3699999999999998E-3</v>
      </c>
      <c r="N11">
        <v>1.54E-2</v>
      </c>
      <c r="O11">
        <v>4.4900000000000002E-2</v>
      </c>
      <c r="P11">
        <v>3.9800000000000002E-2</v>
      </c>
      <c r="Q11">
        <v>4.2999999999999997E-2</v>
      </c>
      <c r="R11">
        <v>8.9899999999999994E-2</v>
      </c>
      <c r="S11">
        <v>1.0500000000000001E-2</v>
      </c>
      <c r="T11">
        <v>1.2500000000000001E-2</v>
      </c>
      <c r="U11">
        <v>5.1399999999999996E-3</v>
      </c>
      <c r="V11">
        <v>3.9E-2</v>
      </c>
      <c r="W11">
        <v>4.4200000000000003E-2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225</v>
      </c>
      <c r="B1" t="s">
        <v>226</v>
      </c>
      <c r="C1" t="s">
        <v>227</v>
      </c>
      <c r="D1" t="s">
        <v>17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2">
      <c r="A2">
        <v>2</v>
      </c>
      <c r="B2">
        <v>1</v>
      </c>
      <c r="C2">
        <v>6144508.0295962896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 x14ac:dyDescent="0.2">
      <c r="A3">
        <v>2</v>
      </c>
      <c r="B3">
        <v>2</v>
      </c>
      <c r="C3">
        <v>4920991.9698781697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>
        <v>2</v>
      </c>
      <c r="B4">
        <v>3</v>
      </c>
      <c r="C4">
        <v>190385.87777849601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</row>
    <row r="5" spans="1:23" x14ac:dyDescent="0.2">
      <c r="A5">
        <v>4</v>
      </c>
      <c r="B5">
        <v>1</v>
      </c>
      <c r="C5">
        <v>107629.530503503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>
        <v>4</v>
      </c>
      <c r="B6">
        <v>2</v>
      </c>
      <c r="C6">
        <v>4833618.8548125103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228</v>
      </c>
    </row>
    <row r="3" spans="1:4" x14ac:dyDescent="0.2">
      <c r="A3" t="s">
        <v>215</v>
      </c>
    </row>
    <row r="4" spans="1:4" x14ac:dyDescent="0.2">
      <c r="A4" t="s">
        <v>216</v>
      </c>
    </row>
    <row r="5" spans="1:4" x14ac:dyDescent="0.2">
      <c r="A5" t="s">
        <v>217</v>
      </c>
    </row>
    <row r="6" spans="1:4" x14ac:dyDescent="0.2">
      <c r="A6" t="s">
        <v>218</v>
      </c>
    </row>
    <row r="7" spans="1:4" x14ac:dyDescent="0.2">
      <c r="A7" t="s">
        <v>219</v>
      </c>
    </row>
    <row r="8" spans="1:4" x14ac:dyDescent="0.2">
      <c r="A8" t="s">
        <v>220</v>
      </c>
    </row>
    <row r="9" spans="1:4" x14ac:dyDescent="0.2">
      <c r="A9" t="s">
        <v>221</v>
      </c>
    </row>
    <row r="10" spans="1:4" x14ac:dyDescent="0.2">
      <c r="A10" t="s">
        <v>222</v>
      </c>
    </row>
    <row r="11" spans="1:4" x14ac:dyDescent="0.2">
      <c r="A11" t="s">
        <v>223</v>
      </c>
    </row>
    <row r="12" spans="1:4" x14ac:dyDescent="0.2">
      <c r="A12" t="s">
        <v>224</v>
      </c>
    </row>
    <row r="14" spans="1:4" x14ac:dyDescent="0.2">
      <c r="A14" t="s">
        <v>229</v>
      </c>
    </row>
    <row r="15" spans="1:4" x14ac:dyDescent="0.2">
      <c r="B15" t="s">
        <v>230</v>
      </c>
      <c r="C15" t="s">
        <v>231</v>
      </c>
      <c r="D15" t="s">
        <v>232</v>
      </c>
    </row>
    <row r="16" spans="1:4" x14ac:dyDescent="0.2">
      <c r="A16" t="s">
        <v>215</v>
      </c>
      <c r="B16">
        <v>47786.034329931099</v>
      </c>
      <c r="C16">
        <v>716880.17222857196</v>
      </c>
      <c r="D16">
        <v>30116.870655372601</v>
      </c>
    </row>
    <row r="17" spans="1:4" x14ac:dyDescent="0.2">
      <c r="A17" t="s">
        <v>216</v>
      </c>
      <c r="B17">
        <v>211196.906662622</v>
      </c>
      <c r="C17">
        <v>268725.64360110101</v>
      </c>
      <c r="D17">
        <v>20170.728562362601</v>
      </c>
    </row>
    <row r="18" spans="1:4" x14ac:dyDescent="0.2">
      <c r="A18" t="s">
        <v>217</v>
      </c>
      <c r="B18">
        <v>274981.67050676403</v>
      </c>
      <c r="C18">
        <v>496349.36904489598</v>
      </c>
      <c r="D18">
        <v>29727.7499693383</v>
      </c>
    </row>
    <row r="19" spans="1:4" x14ac:dyDescent="0.2">
      <c r="A19" t="s">
        <v>218</v>
      </c>
      <c r="B19">
        <v>231038.722075278</v>
      </c>
      <c r="C19">
        <v>462269.02608934802</v>
      </c>
      <c r="D19">
        <v>36268.5376967552</v>
      </c>
    </row>
    <row r="20" spans="1:4" x14ac:dyDescent="0.2">
      <c r="A20" t="s">
        <v>219</v>
      </c>
      <c r="B20">
        <v>37193.039224517102</v>
      </c>
      <c r="C20">
        <v>344308.37958873698</v>
      </c>
      <c r="D20">
        <v>28585.077432481801</v>
      </c>
    </row>
    <row r="21" spans="1:4" x14ac:dyDescent="0.2">
      <c r="A21" t="s">
        <v>220</v>
      </c>
      <c r="B21">
        <v>228603.93360733401</v>
      </c>
      <c r="C21">
        <v>431038.98970134102</v>
      </c>
      <c r="D21">
        <v>33364.125189301398</v>
      </c>
    </row>
    <row r="22" spans="1:4" x14ac:dyDescent="0.2">
      <c r="A22" t="s">
        <v>221</v>
      </c>
      <c r="B22">
        <v>173546.37633177199</v>
      </c>
      <c r="C22">
        <v>372409.91715424397</v>
      </c>
      <c r="D22">
        <v>22307.234416522399</v>
      </c>
    </row>
    <row r="23" spans="1:4" x14ac:dyDescent="0.2">
      <c r="A23" t="s">
        <v>222</v>
      </c>
      <c r="B23">
        <v>201421.74425199299</v>
      </c>
      <c r="C23">
        <v>243935.51310639901</v>
      </c>
      <c r="D23">
        <v>29409.6253705704</v>
      </c>
    </row>
    <row r="24" spans="1:4" x14ac:dyDescent="0.2">
      <c r="A24" t="s">
        <v>223</v>
      </c>
      <c r="B24">
        <v>194654.064072863</v>
      </c>
      <c r="C24">
        <v>583073.555607063</v>
      </c>
      <c r="D24">
        <v>23405.7077035289</v>
      </c>
    </row>
    <row r="25" spans="1:4" x14ac:dyDescent="0.2">
      <c r="A25" t="s">
        <v>224</v>
      </c>
      <c r="B25">
        <v>60993.381022340902</v>
      </c>
      <c r="C25">
        <v>490131.27393615298</v>
      </c>
      <c r="D25">
        <v>22506.089623645501</v>
      </c>
    </row>
    <row r="27" spans="1:4" x14ac:dyDescent="0.2">
      <c r="A27" t="s">
        <v>233</v>
      </c>
    </row>
    <row r="29" spans="1:4" x14ac:dyDescent="0.2">
      <c r="A29" t="s">
        <v>215</v>
      </c>
    </row>
    <row r="30" spans="1:4" x14ac:dyDescent="0.2">
      <c r="A30" t="s">
        <v>216</v>
      </c>
    </row>
    <row r="31" spans="1:4" x14ac:dyDescent="0.2">
      <c r="A31" t="s">
        <v>217</v>
      </c>
    </row>
    <row r="32" spans="1:4" x14ac:dyDescent="0.2">
      <c r="A32" t="s">
        <v>218</v>
      </c>
    </row>
    <row r="33" spans="1:3" x14ac:dyDescent="0.2">
      <c r="A33" t="s">
        <v>219</v>
      </c>
    </row>
    <row r="34" spans="1:3" x14ac:dyDescent="0.2">
      <c r="A34" t="s">
        <v>220</v>
      </c>
    </row>
    <row r="35" spans="1:3" x14ac:dyDescent="0.2">
      <c r="A35" t="s">
        <v>221</v>
      </c>
    </row>
    <row r="36" spans="1:3" x14ac:dyDescent="0.2">
      <c r="A36" t="s">
        <v>222</v>
      </c>
    </row>
    <row r="37" spans="1:3" x14ac:dyDescent="0.2">
      <c r="A37" t="s">
        <v>223</v>
      </c>
    </row>
    <row r="38" spans="1:3" x14ac:dyDescent="0.2">
      <c r="A38" t="s">
        <v>224</v>
      </c>
    </row>
    <row r="40" spans="1:3" x14ac:dyDescent="0.2">
      <c r="A40" t="s">
        <v>234</v>
      </c>
    </row>
    <row r="41" spans="1:3" x14ac:dyDescent="0.2">
      <c r="B41" t="s">
        <v>230</v>
      </c>
      <c r="C41" t="s">
        <v>231</v>
      </c>
    </row>
    <row r="42" spans="1:3" x14ac:dyDescent="0.2">
      <c r="A42" t="s">
        <v>215</v>
      </c>
      <c r="B42">
        <v>4334.2035993332802</v>
      </c>
      <c r="C42">
        <v>874645.94004615396</v>
      </c>
    </row>
    <row r="43" spans="1:3" x14ac:dyDescent="0.2">
      <c r="A43" t="s">
        <v>216</v>
      </c>
      <c r="B43">
        <v>2524.2238742576201</v>
      </c>
      <c r="C43">
        <v>798783.23145457695</v>
      </c>
    </row>
    <row r="44" spans="1:3" x14ac:dyDescent="0.2">
      <c r="A44" t="s">
        <v>217</v>
      </c>
      <c r="B44">
        <v>7631.51912399702</v>
      </c>
      <c r="C44">
        <v>876494.76592879498</v>
      </c>
    </row>
    <row r="45" spans="1:3" x14ac:dyDescent="0.2">
      <c r="A45" t="s">
        <v>218</v>
      </c>
      <c r="B45">
        <v>9753.4057039544896</v>
      </c>
      <c r="C45">
        <v>1187867.3401436601</v>
      </c>
    </row>
    <row r="46" spans="1:3" x14ac:dyDescent="0.2">
      <c r="A46" t="s">
        <v>219</v>
      </c>
      <c r="B46">
        <v>5943.0218860096402</v>
      </c>
      <c r="C46">
        <v>1064630.0573771801</v>
      </c>
    </row>
    <row r="47" spans="1:3" x14ac:dyDescent="0.2">
      <c r="A47" t="s">
        <v>220</v>
      </c>
      <c r="B47">
        <v>3656.87642345417</v>
      </c>
      <c r="C47">
        <v>1168240.2789201599</v>
      </c>
    </row>
    <row r="48" spans="1:3" x14ac:dyDescent="0.2">
      <c r="A48" t="s">
        <v>221</v>
      </c>
      <c r="B48">
        <v>2893.5046461426</v>
      </c>
      <c r="C48">
        <v>941910.13572834805</v>
      </c>
    </row>
    <row r="49" spans="1:3" x14ac:dyDescent="0.2">
      <c r="A49" t="s">
        <v>222</v>
      </c>
      <c r="B49">
        <v>9066.4760053991304</v>
      </c>
      <c r="C49">
        <v>1081561.07621174</v>
      </c>
    </row>
    <row r="50" spans="1:3" x14ac:dyDescent="0.2">
      <c r="A50" t="s">
        <v>223</v>
      </c>
      <c r="B50">
        <v>733.78936510481503</v>
      </c>
      <c r="C50">
        <v>671880.00153786095</v>
      </c>
    </row>
    <row r="51" spans="1:3" x14ac:dyDescent="0.2">
      <c r="A51" t="s">
        <v>224</v>
      </c>
      <c r="B51">
        <v>3376.6880641552498</v>
      </c>
      <c r="C51">
        <v>830773.27977185696</v>
      </c>
    </row>
    <row r="53" spans="1:3" x14ac:dyDescent="0.2">
      <c r="A53" t="s">
        <v>235</v>
      </c>
    </row>
    <row r="55" spans="1:3" x14ac:dyDescent="0.2">
      <c r="A55" t="s">
        <v>215</v>
      </c>
    </row>
    <row r="56" spans="1:3" x14ac:dyDescent="0.2">
      <c r="A56" t="s">
        <v>216</v>
      </c>
    </row>
    <row r="57" spans="1:3" x14ac:dyDescent="0.2">
      <c r="A57" t="s">
        <v>217</v>
      </c>
    </row>
    <row r="58" spans="1:3" x14ac:dyDescent="0.2">
      <c r="A58" t="s">
        <v>218</v>
      </c>
    </row>
    <row r="59" spans="1:3" x14ac:dyDescent="0.2">
      <c r="A59" t="s">
        <v>219</v>
      </c>
    </row>
    <row r="60" spans="1:3" x14ac:dyDescent="0.2">
      <c r="A60" t="s">
        <v>220</v>
      </c>
    </row>
    <row r="61" spans="1:3" x14ac:dyDescent="0.2">
      <c r="A61" t="s">
        <v>221</v>
      </c>
    </row>
    <row r="62" spans="1:3" x14ac:dyDescent="0.2">
      <c r="A62" t="s">
        <v>222</v>
      </c>
    </row>
    <row r="63" spans="1:3" x14ac:dyDescent="0.2">
      <c r="A63" t="s">
        <v>223</v>
      </c>
    </row>
    <row r="64" spans="1:3" x14ac:dyDescent="0.2">
      <c r="A64" t="s">
        <v>224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228</v>
      </c>
    </row>
    <row r="3" spans="1:1" x14ac:dyDescent="0.2">
      <c r="A3" t="s">
        <v>70</v>
      </c>
    </row>
    <row r="4" spans="1:1" x14ac:dyDescent="0.2">
      <c r="A4" t="s">
        <v>80</v>
      </c>
    </row>
    <row r="5" spans="1:1" x14ac:dyDescent="0.2">
      <c r="A5" t="s">
        <v>84</v>
      </c>
    </row>
    <row r="6" spans="1:1" x14ac:dyDescent="0.2">
      <c r="A6" t="s">
        <v>88</v>
      </c>
    </row>
    <row r="7" spans="1:1" x14ac:dyDescent="0.2">
      <c r="A7" t="s">
        <v>23</v>
      </c>
    </row>
    <row r="8" spans="1:1" x14ac:dyDescent="0.2">
      <c r="A8" t="s">
        <v>26</v>
      </c>
    </row>
    <row r="9" spans="1:1" x14ac:dyDescent="0.2">
      <c r="A9" t="s">
        <v>100</v>
      </c>
    </row>
    <row r="10" spans="1:1" x14ac:dyDescent="0.2">
      <c r="A10" t="s">
        <v>104</v>
      </c>
    </row>
    <row r="11" spans="1:1" x14ac:dyDescent="0.2">
      <c r="A11" t="s">
        <v>108</v>
      </c>
    </row>
    <row r="12" spans="1:1" x14ac:dyDescent="0.2">
      <c r="A12" t="s">
        <v>113</v>
      </c>
    </row>
    <row r="13" spans="1:1" x14ac:dyDescent="0.2">
      <c r="A13" t="s">
        <v>116</v>
      </c>
    </row>
    <row r="14" spans="1:1" x14ac:dyDescent="0.2">
      <c r="A14" t="s">
        <v>120</v>
      </c>
    </row>
    <row r="15" spans="1:1" x14ac:dyDescent="0.2">
      <c r="A15" t="s">
        <v>124</v>
      </c>
    </row>
    <row r="16" spans="1:1" x14ac:dyDescent="0.2">
      <c r="A16" t="s">
        <v>128</v>
      </c>
    </row>
    <row r="17" spans="1:1" x14ac:dyDescent="0.2">
      <c r="A17" t="s">
        <v>132</v>
      </c>
    </row>
    <row r="18" spans="1:1" x14ac:dyDescent="0.2">
      <c r="A18" t="s">
        <v>136</v>
      </c>
    </row>
    <row r="19" spans="1:1" x14ac:dyDescent="0.2">
      <c r="A19" t="s">
        <v>141</v>
      </c>
    </row>
    <row r="20" spans="1:1" x14ac:dyDescent="0.2">
      <c r="A20" t="s">
        <v>146</v>
      </c>
    </row>
    <row r="21" spans="1:1" x14ac:dyDescent="0.2">
      <c r="A21" t="s">
        <v>150</v>
      </c>
    </row>
    <row r="22" spans="1:1" x14ac:dyDescent="0.2">
      <c r="A22" t="s">
        <v>154</v>
      </c>
    </row>
    <row r="23" spans="1:1" x14ac:dyDescent="0.2">
      <c r="A23" t="s">
        <v>158</v>
      </c>
    </row>
    <row r="24" spans="1:1" x14ac:dyDescent="0.2">
      <c r="A24" t="s">
        <v>163</v>
      </c>
    </row>
    <row r="25" spans="1:1" x14ac:dyDescent="0.2">
      <c r="A25" t="s">
        <v>167</v>
      </c>
    </row>
    <row r="26" spans="1:1" x14ac:dyDescent="0.2">
      <c r="A26" t="s">
        <v>172</v>
      </c>
    </row>
    <row r="27" spans="1:1" x14ac:dyDescent="0.2">
      <c r="A27" t="s">
        <v>175</v>
      </c>
    </row>
    <row r="28" spans="1:1" x14ac:dyDescent="0.2">
      <c r="A28" t="s">
        <v>178</v>
      </c>
    </row>
    <row r="29" spans="1:1" x14ac:dyDescent="0.2">
      <c r="A29" t="s">
        <v>181</v>
      </c>
    </row>
    <row r="30" spans="1:1" x14ac:dyDescent="0.2">
      <c r="A30" t="s">
        <v>185</v>
      </c>
    </row>
    <row r="31" spans="1:1" x14ac:dyDescent="0.2">
      <c r="A31" t="s">
        <v>189</v>
      </c>
    </row>
    <row r="32" spans="1:1" x14ac:dyDescent="0.2">
      <c r="A32" t="s">
        <v>193</v>
      </c>
    </row>
    <row r="33" spans="1:4" x14ac:dyDescent="0.2">
      <c r="A33" t="s">
        <v>197</v>
      </c>
    </row>
    <row r="34" spans="1:4" x14ac:dyDescent="0.2">
      <c r="A34" t="s">
        <v>201</v>
      </c>
    </row>
    <row r="35" spans="1:4" x14ac:dyDescent="0.2">
      <c r="A35" t="s">
        <v>206</v>
      </c>
    </row>
    <row r="36" spans="1:4" x14ac:dyDescent="0.2">
      <c r="A36" t="s">
        <v>209</v>
      </c>
    </row>
    <row r="38" spans="1:4" x14ac:dyDescent="0.2">
      <c r="A38" t="s">
        <v>229</v>
      </c>
    </row>
    <row r="39" spans="1:4" x14ac:dyDescent="0.2">
      <c r="B39" t="s">
        <v>230</v>
      </c>
      <c r="C39" t="s">
        <v>231</v>
      </c>
      <c r="D39" t="s">
        <v>232</v>
      </c>
    </row>
    <row r="40" spans="1:4" x14ac:dyDescent="0.2">
      <c r="A40" t="s">
        <v>70</v>
      </c>
      <c r="B40">
        <v>500</v>
      </c>
      <c r="C40">
        <v>500</v>
      </c>
      <c r="D40">
        <v>500</v>
      </c>
    </row>
    <row r="41" spans="1:4" x14ac:dyDescent="0.2">
      <c r="A41" t="s">
        <v>80</v>
      </c>
      <c r="B41">
        <v>3000</v>
      </c>
      <c r="C41">
        <v>0</v>
      </c>
      <c r="D41">
        <v>0</v>
      </c>
    </row>
    <row r="42" spans="1:4" x14ac:dyDescent="0.2">
      <c r="A42" t="s">
        <v>84</v>
      </c>
      <c r="B42">
        <v>1000</v>
      </c>
      <c r="C42">
        <v>1000</v>
      </c>
      <c r="D42">
        <v>0</v>
      </c>
    </row>
    <row r="43" spans="1:4" x14ac:dyDescent="0.2">
      <c r="A43" t="s">
        <v>88</v>
      </c>
      <c r="B43">
        <v>6000</v>
      </c>
      <c r="C43">
        <v>6000</v>
      </c>
      <c r="D43">
        <v>0</v>
      </c>
    </row>
    <row r="44" spans="1:4" x14ac:dyDescent="0.2">
      <c r="A44" t="s">
        <v>23</v>
      </c>
      <c r="B44">
        <v>14000</v>
      </c>
      <c r="C44">
        <v>0</v>
      </c>
      <c r="D44">
        <v>0</v>
      </c>
    </row>
    <row r="45" spans="1:4" x14ac:dyDescent="0.2">
      <c r="A45" t="s">
        <v>26</v>
      </c>
      <c r="B45">
        <v>12000</v>
      </c>
      <c r="C45">
        <v>12000</v>
      </c>
      <c r="D45">
        <v>0</v>
      </c>
    </row>
    <row r="46" spans="1:4" x14ac:dyDescent="0.2">
      <c r="A46" t="s">
        <v>100</v>
      </c>
      <c r="B46">
        <v>8000</v>
      </c>
      <c r="C46">
        <v>0</v>
      </c>
      <c r="D46">
        <v>0</v>
      </c>
    </row>
    <row r="47" spans="1:4" x14ac:dyDescent="0.2">
      <c r="A47" t="s">
        <v>104</v>
      </c>
      <c r="B47">
        <v>25000</v>
      </c>
      <c r="C47">
        <v>0</v>
      </c>
      <c r="D47">
        <v>0</v>
      </c>
    </row>
    <row r="48" spans="1:4" x14ac:dyDescent="0.2">
      <c r="A48" t="s">
        <v>108</v>
      </c>
      <c r="B48">
        <v>750</v>
      </c>
      <c r="C48">
        <v>0</v>
      </c>
      <c r="D48">
        <v>0</v>
      </c>
    </row>
    <row r="49" spans="1:4" x14ac:dyDescent="0.2">
      <c r="A49" t="s">
        <v>113</v>
      </c>
      <c r="B49">
        <v>375</v>
      </c>
      <c r="C49">
        <v>375</v>
      </c>
      <c r="D49">
        <v>0</v>
      </c>
    </row>
    <row r="50" spans="1:4" x14ac:dyDescent="0.2">
      <c r="A50" t="s">
        <v>116</v>
      </c>
      <c r="B50">
        <v>250</v>
      </c>
      <c r="C50">
        <v>250</v>
      </c>
      <c r="D50">
        <v>250</v>
      </c>
    </row>
    <row r="51" spans="1:4" x14ac:dyDescent="0.2">
      <c r="A51" t="s">
        <v>120</v>
      </c>
      <c r="B51">
        <v>750</v>
      </c>
      <c r="C51">
        <v>0</v>
      </c>
      <c r="D51">
        <v>0</v>
      </c>
    </row>
    <row r="52" spans="1:4" x14ac:dyDescent="0.2">
      <c r="A52" t="s">
        <v>124</v>
      </c>
      <c r="B52">
        <v>2500</v>
      </c>
      <c r="C52">
        <v>2500</v>
      </c>
      <c r="D52">
        <v>0</v>
      </c>
    </row>
    <row r="53" spans="1:4" x14ac:dyDescent="0.2">
      <c r="A53" t="s">
        <v>128</v>
      </c>
      <c r="B53">
        <v>1333</v>
      </c>
      <c r="C53">
        <v>1333</v>
      </c>
      <c r="D53">
        <v>1333</v>
      </c>
    </row>
    <row r="54" spans="1:4" x14ac:dyDescent="0.2">
      <c r="A54" t="s">
        <v>132</v>
      </c>
      <c r="B54">
        <v>2500</v>
      </c>
      <c r="C54">
        <v>2500</v>
      </c>
      <c r="D54">
        <v>0</v>
      </c>
    </row>
    <row r="55" spans="1:4" x14ac:dyDescent="0.2">
      <c r="A55" t="s">
        <v>136</v>
      </c>
      <c r="B55">
        <v>750</v>
      </c>
      <c r="C55">
        <v>750</v>
      </c>
      <c r="D55">
        <v>750</v>
      </c>
    </row>
    <row r="56" spans="1:4" x14ac:dyDescent="0.2">
      <c r="A56" t="s">
        <v>141</v>
      </c>
      <c r="B56">
        <v>0</v>
      </c>
      <c r="C56">
        <v>9000</v>
      </c>
      <c r="D56">
        <v>0</v>
      </c>
    </row>
    <row r="57" spans="1:4" x14ac:dyDescent="0.2">
      <c r="A57" t="s">
        <v>146</v>
      </c>
      <c r="B57">
        <v>0</v>
      </c>
      <c r="C57">
        <v>26500</v>
      </c>
      <c r="D57">
        <v>0</v>
      </c>
    </row>
    <row r="58" spans="1:4" x14ac:dyDescent="0.2">
      <c r="A58" t="s">
        <v>150</v>
      </c>
      <c r="B58">
        <v>0</v>
      </c>
      <c r="C58">
        <v>13250</v>
      </c>
      <c r="D58">
        <v>0</v>
      </c>
    </row>
    <row r="59" spans="1:4" x14ac:dyDescent="0.2">
      <c r="A59" t="s">
        <v>154</v>
      </c>
      <c r="B59">
        <v>1000</v>
      </c>
      <c r="C59">
        <v>1000</v>
      </c>
      <c r="D59">
        <v>0</v>
      </c>
    </row>
    <row r="60" spans="1:4" x14ac:dyDescent="0.2">
      <c r="A60" t="s">
        <v>158</v>
      </c>
      <c r="B60">
        <v>1500</v>
      </c>
      <c r="C60">
        <v>1500</v>
      </c>
      <c r="D60">
        <v>0</v>
      </c>
    </row>
    <row r="61" spans="1:4" x14ac:dyDescent="0.2">
      <c r="A61" t="s">
        <v>163</v>
      </c>
      <c r="B61">
        <v>5000</v>
      </c>
      <c r="C61">
        <v>0</v>
      </c>
      <c r="D61">
        <v>0</v>
      </c>
    </row>
    <row r="62" spans="1:4" x14ac:dyDescent="0.2">
      <c r="A62" t="s">
        <v>167</v>
      </c>
      <c r="B62">
        <v>0</v>
      </c>
      <c r="C62">
        <v>0</v>
      </c>
      <c r="D62">
        <v>0</v>
      </c>
    </row>
    <row r="63" spans="1:4" x14ac:dyDescent="0.2">
      <c r="A63" t="s">
        <v>172</v>
      </c>
      <c r="B63">
        <v>0</v>
      </c>
      <c r="C63">
        <v>0</v>
      </c>
      <c r="D63">
        <v>0</v>
      </c>
    </row>
    <row r="64" spans="1:4" x14ac:dyDescent="0.2">
      <c r="A64" t="s">
        <v>175</v>
      </c>
      <c r="B64">
        <v>0</v>
      </c>
      <c r="C64">
        <v>0</v>
      </c>
      <c r="D64">
        <v>0</v>
      </c>
    </row>
    <row r="65" spans="1:4" x14ac:dyDescent="0.2">
      <c r="A65" t="s">
        <v>178</v>
      </c>
      <c r="B65">
        <v>0</v>
      </c>
      <c r="C65">
        <v>0</v>
      </c>
      <c r="D65">
        <v>0</v>
      </c>
    </row>
    <row r="66" spans="1:4" x14ac:dyDescent="0.2">
      <c r="A66" t="s">
        <v>181</v>
      </c>
      <c r="B66">
        <v>0</v>
      </c>
      <c r="C66">
        <v>0</v>
      </c>
      <c r="D66">
        <v>0</v>
      </c>
    </row>
    <row r="67" spans="1:4" x14ac:dyDescent="0.2">
      <c r="A67" t="s">
        <v>185</v>
      </c>
      <c r="B67">
        <v>1500</v>
      </c>
      <c r="C67">
        <v>1500</v>
      </c>
      <c r="D67">
        <v>0</v>
      </c>
    </row>
    <row r="68" spans="1:4" x14ac:dyDescent="0.2">
      <c r="A68" t="s">
        <v>189</v>
      </c>
      <c r="B68">
        <v>1500</v>
      </c>
      <c r="C68">
        <v>1500</v>
      </c>
      <c r="D68">
        <v>0</v>
      </c>
    </row>
    <row r="69" spans="1:4" x14ac:dyDescent="0.2">
      <c r="A69" t="s">
        <v>193</v>
      </c>
      <c r="B69">
        <v>500</v>
      </c>
      <c r="C69">
        <v>500</v>
      </c>
      <c r="D69">
        <v>0</v>
      </c>
    </row>
    <row r="70" spans="1:4" x14ac:dyDescent="0.2">
      <c r="A70" t="s">
        <v>197</v>
      </c>
      <c r="B70">
        <v>12000</v>
      </c>
      <c r="C70">
        <v>12000</v>
      </c>
      <c r="D70">
        <v>0</v>
      </c>
    </row>
    <row r="71" spans="1:4" x14ac:dyDescent="0.2">
      <c r="A71" t="s">
        <v>201</v>
      </c>
      <c r="B71">
        <v>0</v>
      </c>
      <c r="C71">
        <v>12500</v>
      </c>
      <c r="D71">
        <v>0</v>
      </c>
    </row>
    <row r="72" spans="1:4" x14ac:dyDescent="0.2">
      <c r="A72" t="s">
        <v>206</v>
      </c>
      <c r="B72">
        <v>0</v>
      </c>
      <c r="C72">
        <v>10500</v>
      </c>
      <c r="D72">
        <v>0</v>
      </c>
    </row>
    <row r="73" spans="1:4" x14ac:dyDescent="0.2">
      <c r="A73" t="s">
        <v>209</v>
      </c>
      <c r="B73">
        <v>11000</v>
      </c>
      <c r="C73">
        <v>0</v>
      </c>
      <c r="D73">
        <v>0</v>
      </c>
    </row>
    <row r="75" spans="1:4" x14ac:dyDescent="0.2">
      <c r="A75" t="s">
        <v>233</v>
      </c>
    </row>
    <row r="77" spans="1:4" x14ac:dyDescent="0.2">
      <c r="A77" t="s">
        <v>70</v>
      </c>
    </row>
    <row r="78" spans="1:4" x14ac:dyDescent="0.2">
      <c r="A78" t="s">
        <v>80</v>
      </c>
    </row>
    <row r="79" spans="1:4" x14ac:dyDescent="0.2">
      <c r="A79" t="s">
        <v>84</v>
      </c>
    </row>
    <row r="80" spans="1:4" x14ac:dyDescent="0.2">
      <c r="A80" t="s">
        <v>88</v>
      </c>
    </row>
    <row r="81" spans="1:1" x14ac:dyDescent="0.2">
      <c r="A81" t="s">
        <v>23</v>
      </c>
    </row>
    <row r="82" spans="1:1" x14ac:dyDescent="0.2">
      <c r="A82" t="s">
        <v>26</v>
      </c>
    </row>
    <row r="83" spans="1:1" x14ac:dyDescent="0.2">
      <c r="A83" t="s">
        <v>100</v>
      </c>
    </row>
    <row r="84" spans="1:1" x14ac:dyDescent="0.2">
      <c r="A84" t="s">
        <v>104</v>
      </c>
    </row>
    <row r="85" spans="1:1" x14ac:dyDescent="0.2">
      <c r="A85" t="s">
        <v>108</v>
      </c>
    </row>
    <row r="86" spans="1:1" x14ac:dyDescent="0.2">
      <c r="A86" t="s">
        <v>113</v>
      </c>
    </row>
    <row r="87" spans="1:1" x14ac:dyDescent="0.2">
      <c r="A87" t="s">
        <v>116</v>
      </c>
    </row>
    <row r="88" spans="1:1" x14ac:dyDescent="0.2">
      <c r="A88" t="s">
        <v>120</v>
      </c>
    </row>
    <row r="89" spans="1:1" x14ac:dyDescent="0.2">
      <c r="A89" t="s">
        <v>124</v>
      </c>
    </row>
    <row r="90" spans="1:1" x14ac:dyDescent="0.2">
      <c r="A90" t="s">
        <v>128</v>
      </c>
    </row>
    <row r="91" spans="1:1" x14ac:dyDescent="0.2">
      <c r="A91" t="s">
        <v>132</v>
      </c>
    </row>
    <row r="92" spans="1:1" x14ac:dyDescent="0.2">
      <c r="A92" t="s">
        <v>136</v>
      </c>
    </row>
    <row r="93" spans="1:1" x14ac:dyDescent="0.2">
      <c r="A93" t="s">
        <v>141</v>
      </c>
    </row>
    <row r="94" spans="1:1" x14ac:dyDescent="0.2">
      <c r="A94" t="s">
        <v>146</v>
      </c>
    </row>
    <row r="95" spans="1:1" x14ac:dyDescent="0.2">
      <c r="A95" t="s">
        <v>150</v>
      </c>
    </row>
    <row r="96" spans="1:1" x14ac:dyDescent="0.2">
      <c r="A96" t="s">
        <v>154</v>
      </c>
    </row>
    <row r="97" spans="1:1" x14ac:dyDescent="0.2">
      <c r="A97" t="s">
        <v>158</v>
      </c>
    </row>
    <row r="98" spans="1:1" x14ac:dyDescent="0.2">
      <c r="A98" t="s">
        <v>163</v>
      </c>
    </row>
    <row r="99" spans="1:1" x14ac:dyDescent="0.2">
      <c r="A99" t="s">
        <v>167</v>
      </c>
    </row>
    <row r="100" spans="1:1" x14ac:dyDescent="0.2">
      <c r="A100" t="s">
        <v>172</v>
      </c>
    </row>
    <row r="101" spans="1:1" x14ac:dyDescent="0.2">
      <c r="A101" t="s">
        <v>175</v>
      </c>
    </row>
    <row r="102" spans="1:1" x14ac:dyDescent="0.2">
      <c r="A102" t="s">
        <v>178</v>
      </c>
    </row>
    <row r="103" spans="1:1" x14ac:dyDescent="0.2">
      <c r="A103" t="s">
        <v>181</v>
      </c>
    </row>
    <row r="104" spans="1:1" x14ac:dyDescent="0.2">
      <c r="A104" t="s">
        <v>185</v>
      </c>
    </row>
    <row r="105" spans="1:1" x14ac:dyDescent="0.2">
      <c r="A105" t="s">
        <v>189</v>
      </c>
    </row>
    <row r="106" spans="1:1" x14ac:dyDescent="0.2">
      <c r="A106" t="s">
        <v>193</v>
      </c>
    </row>
    <row r="107" spans="1:1" x14ac:dyDescent="0.2">
      <c r="A107" t="s">
        <v>197</v>
      </c>
    </row>
    <row r="108" spans="1:1" x14ac:dyDescent="0.2">
      <c r="A108" t="s">
        <v>201</v>
      </c>
    </row>
    <row r="109" spans="1:1" x14ac:dyDescent="0.2">
      <c r="A109" t="s">
        <v>206</v>
      </c>
    </row>
    <row r="110" spans="1:1" x14ac:dyDescent="0.2">
      <c r="A110" t="s">
        <v>209</v>
      </c>
    </row>
    <row r="112" spans="1:1" x14ac:dyDescent="0.2">
      <c r="A112" t="s">
        <v>234</v>
      </c>
    </row>
    <row r="113" spans="1:3" x14ac:dyDescent="0.2">
      <c r="B113" t="s">
        <v>230</v>
      </c>
      <c r="C113" t="s">
        <v>231</v>
      </c>
    </row>
    <row r="114" spans="1:3" x14ac:dyDescent="0.2">
      <c r="A114" t="s">
        <v>70</v>
      </c>
      <c r="B114">
        <v>0</v>
      </c>
      <c r="C114">
        <v>500</v>
      </c>
    </row>
    <row r="115" spans="1:3" x14ac:dyDescent="0.2">
      <c r="A115" t="s">
        <v>80</v>
      </c>
      <c r="B115">
        <v>0</v>
      </c>
      <c r="C115">
        <v>3000</v>
      </c>
    </row>
    <row r="116" spans="1:3" x14ac:dyDescent="0.2">
      <c r="A116" t="s">
        <v>84</v>
      </c>
      <c r="B116">
        <v>0</v>
      </c>
      <c r="C116">
        <v>1000</v>
      </c>
    </row>
    <row r="117" spans="1:3" x14ac:dyDescent="0.2">
      <c r="A117" t="s">
        <v>88</v>
      </c>
      <c r="B117">
        <v>0</v>
      </c>
      <c r="C117">
        <v>6000</v>
      </c>
    </row>
    <row r="118" spans="1:3" x14ac:dyDescent="0.2">
      <c r="A118" t="s">
        <v>23</v>
      </c>
      <c r="B118">
        <v>0</v>
      </c>
      <c r="C118">
        <v>14000</v>
      </c>
    </row>
    <row r="119" spans="1:3" x14ac:dyDescent="0.2">
      <c r="A119" t="s">
        <v>26</v>
      </c>
      <c r="B119">
        <v>0</v>
      </c>
      <c r="C119">
        <v>12000</v>
      </c>
    </row>
    <row r="120" spans="1:3" x14ac:dyDescent="0.2">
      <c r="A120" t="s">
        <v>100</v>
      </c>
      <c r="B120">
        <v>0</v>
      </c>
      <c r="C120">
        <v>8000</v>
      </c>
    </row>
    <row r="121" spans="1:3" x14ac:dyDescent="0.2">
      <c r="A121" t="s">
        <v>104</v>
      </c>
      <c r="B121">
        <v>0</v>
      </c>
      <c r="C121">
        <v>25000</v>
      </c>
    </row>
    <row r="122" spans="1:3" x14ac:dyDescent="0.2">
      <c r="A122" t="s">
        <v>108</v>
      </c>
      <c r="B122">
        <v>0</v>
      </c>
      <c r="C122">
        <v>750</v>
      </c>
    </row>
    <row r="123" spans="1:3" x14ac:dyDescent="0.2">
      <c r="A123" t="s">
        <v>113</v>
      </c>
      <c r="B123">
        <v>0</v>
      </c>
      <c r="C123">
        <v>375</v>
      </c>
    </row>
    <row r="124" spans="1:3" x14ac:dyDescent="0.2">
      <c r="A124" t="s">
        <v>116</v>
      </c>
      <c r="B124">
        <v>0</v>
      </c>
      <c r="C124">
        <v>250</v>
      </c>
    </row>
    <row r="125" spans="1:3" x14ac:dyDescent="0.2">
      <c r="A125" t="s">
        <v>120</v>
      </c>
      <c r="B125">
        <v>0</v>
      </c>
      <c r="C125">
        <v>750</v>
      </c>
    </row>
    <row r="126" spans="1:3" x14ac:dyDescent="0.2">
      <c r="A126" t="s">
        <v>124</v>
      </c>
      <c r="B126">
        <v>0</v>
      </c>
      <c r="C126">
        <v>2500</v>
      </c>
    </row>
    <row r="127" spans="1:3" x14ac:dyDescent="0.2">
      <c r="A127" t="s">
        <v>128</v>
      </c>
      <c r="B127">
        <v>0</v>
      </c>
      <c r="C127">
        <v>1333</v>
      </c>
    </row>
    <row r="128" spans="1:3" x14ac:dyDescent="0.2">
      <c r="A128" t="s">
        <v>132</v>
      </c>
      <c r="B128">
        <v>0</v>
      </c>
      <c r="C128">
        <v>2500</v>
      </c>
    </row>
    <row r="129" spans="1:3" x14ac:dyDescent="0.2">
      <c r="A129" t="s">
        <v>136</v>
      </c>
      <c r="B129">
        <v>0</v>
      </c>
      <c r="C129">
        <v>750</v>
      </c>
    </row>
    <row r="130" spans="1:3" x14ac:dyDescent="0.2">
      <c r="A130" t="s">
        <v>141</v>
      </c>
      <c r="B130">
        <v>0</v>
      </c>
      <c r="C130">
        <v>9000</v>
      </c>
    </row>
    <row r="131" spans="1:3" x14ac:dyDescent="0.2">
      <c r="A131" t="s">
        <v>146</v>
      </c>
      <c r="B131">
        <v>0</v>
      </c>
      <c r="C131">
        <v>26500</v>
      </c>
    </row>
    <row r="132" spans="1:3" x14ac:dyDescent="0.2">
      <c r="A132" t="s">
        <v>150</v>
      </c>
      <c r="B132">
        <v>0</v>
      </c>
      <c r="C132">
        <v>13250</v>
      </c>
    </row>
    <row r="133" spans="1:3" x14ac:dyDescent="0.2">
      <c r="A133" t="s">
        <v>154</v>
      </c>
      <c r="B133">
        <v>0</v>
      </c>
      <c r="C133">
        <v>1000</v>
      </c>
    </row>
    <row r="134" spans="1:3" x14ac:dyDescent="0.2">
      <c r="A134" t="s">
        <v>158</v>
      </c>
      <c r="B134">
        <v>0</v>
      </c>
      <c r="C134">
        <v>1500</v>
      </c>
    </row>
    <row r="135" spans="1:3" x14ac:dyDescent="0.2">
      <c r="A135" t="s">
        <v>163</v>
      </c>
      <c r="B135">
        <v>0</v>
      </c>
      <c r="C135">
        <v>5000</v>
      </c>
    </row>
    <row r="136" spans="1:3" x14ac:dyDescent="0.2">
      <c r="A136" t="s">
        <v>167</v>
      </c>
      <c r="B136">
        <v>0</v>
      </c>
      <c r="C136">
        <v>139000</v>
      </c>
    </row>
    <row r="137" spans="1:3" x14ac:dyDescent="0.2">
      <c r="A137" t="s">
        <v>172</v>
      </c>
      <c r="B137">
        <v>0</v>
      </c>
      <c r="C137">
        <v>13000</v>
      </c>
    </row>
    <row r="138" spans="1:3" x14ac:dyDescent="0.2">
      <c r="A138" t="s">
        <v>175</v>
      </c>
      <c r="B138">
        <v>0</v>
      </c>
      <c r="C138">
        <v>8666.5</v>
      </c>
    </row>
    <row r="139" spans="1:3" x14ac:dyDescent="0.2">
      <c r="A139" t="s">
        <v>178</v>
      </c>
      <c r="B139">
        <v>0</v>
      </c>
      <c r="C139">
        <v>85000</v>
      </c>
    </row>
    <row r="140" spans="1:3" x14ac:dyDescent="0.2">
      <c r="A140" t="s">
        <v>181</v>
      </c>
      <c r="B140">
        <v>0</v>
      </c>
      <c r="C140">
        <v>25500</v>
      </c>
    </row>
    <row r="141" spans="1:3" x14ac:dyDescent="0.2">
      <c r="A141" t="s">
        <v>185</v>
      </c>
      <c r="B141">
        <v>0</v>
      </c>
      <c r="C141">
        <v>1500</v>
      </c>
    </row>
    <row r="142" spans="1:3" x14ac:dyDescent="0.2">
      <c r="A142" t="s">
        <v>189</v>
      </c>
      <c r="B142">
        <v>1066.4760053991299</v>
      </c>
      <c r="C142">
        <v>1500</v>
      </c>
    </row>
    <row r="143" spans="1:3" x14ac:dyDescent="0.2">
      <c r="A143" t="s">
        <v>193</v>
      </c>
      <c r="B143">
        <v>500</v>
      </c>
      <c r="C143">
        <v>500</v>
      </c>
    </row>
    <row r="144" spans="1:3" x14ac:dyDescent="0.2">
      <c r="A144" t="s">
        <v>197</v>
      </c>
      <c r="B144">
        <v>0</v>
      </c>
      <c r="C144">
        <v>12000</v>
      </c>
    </row>
    <row r="145" spans="1:3" x14ac:dyDescent="0.2">
      <c r="A145" t="s">
        <v>201</v>
      </c>
      <c r="B145">
        <v>0</v>
      </c>
      <c r="C145">
        <v>12500</v>
      </c>
    </row>
    <row r="146" spans="1:3" x14ac:dyDescent="0.2">
      <c r="A146" t="s">
        <v>206</v>
      </c>
      <c r="B146">
        <v>0</v>
      </c>
      <c r="C146">
        <v>10500</v>
      </c>
    </row>
    <row r="147" spans="1:3" x14ac:dyDescent="0.2">
      <c r="A147" t="s">
        <v>209</v>
      </c>
      <c r="B147">
        <v>0</v>
      </c>
      <c r="C147">
        <v>11000</v>
      </c>
    </row>
    <row r="149" spans="1:3" x14ac:dyDescent="0.2">
      <c r="A149" t="s">
        <v>235</v>
      </c>
    </row>
    <row r="151" spans="1:3" x14ac:dyDescent="0.2">
      <c r="A151" t="s">
        <v>70</v>
      </c>
    </row>
    <row r="152" spans="1:3" x14ac:dyDescent="0.2">
      <c r="A152" t="s">
        <v>80</v>
      </c>
    </row>
    <row r="153" spans="1:3" x14ac:dyDescent="0.2">
      <c r="A153" t="s">
        <v>84</v>
      </c>
    </row>
    <row r="154" spans="1:3" x14ac:dyDescent="0.2">
      <c r="A154" t="s">
        <v>88</v>
      </c>
    </row>
    <row r="155" spans="1:3" x14ac:dyDescent="0.2">
      <c r="A155" t="s">
        <v>23</v>
      </c>
    </row>
    <row r="156" spans="1:3" x14ac:dyDescent="0.2">
      <c r="A156" t="s">
        <v>26</v>
      </c>
    </row>
    <row r="157" spans="1:3" x14ac:dyDescent="0.2">
      <c r="A157" t="s">
        <v>100</v>
      </c>
    </row>
    <row r="158" spans="1:3" x14ac:dyDescent="0.2">
      <c r="A158" t="s">
        <v>104</v>
      </c>
    </row>
    <row r="159" spans="1:3" x14ac:dyDescent="0.2">
      <c r="A159" t="s">
        <v>108</v>
      </c>
    </row>
    <row r="160" spans="1:3" x14ac:dyDescent="0.2">
      <c r="A160" t="s">
        <v>113</v>
      </c>
    </row>
    <row r="161" spans="1:1" x14ac:dyDescent="0.2">
      <c r="A161" t="s">
        <v>116</v>
      </c>
    </row>
    <row r="162" spans="1:1" x14ac:dyDescent="0.2">
      <c r="A162" t="s">
        <v>120</v>
      </c>
    </row>
    <row r="163" spans="1:1" x14ac:dyDescent="0.2">
      <c r="A163" t="s">
        <v>124</v>
      </c>
    </row>
    <row r="164" spans="1:1" x14ac:dyDescent="0.2">
      <c r="A164" t="s">
        <v>128</v>
      </c>
    </row>
    <row r="165" spans="1:1" x14ac:dyDescent="0.2">
      <c r="A165" t="s">
        <v>132</v>
      </c>
    </row>
    <row r="166" spans="1:1" x14ac:dyDescent="0.2">
      <c r="A166" t="s">
        <v>136</v>
      </c>
    </row>
    <row r="167" spans="1:1" x14ac:dyDescent="0.2">
      <c r="A167" t="s">
        <v>141</v>
      </c>
    </row>
    <row r="168" spans="1:1" x14ac:dyDescent="0.2">
      <c r="A168" t="s">
        <v>146</v>
      </c>
    </row>
    <row r="169" spans="1:1" x14ac:dyDescent="0.2">
      <c r="A169" t="s">
        <v>150</v>
      </c>
    </row>
    <row r="170" spans="1:1" x14ac:dyDescent="0.2">
      <c r="A170" t="s">
        <v>154</v>
      </c>
    </row>
    <row r="171" spans="1:1" x14ac:dyDescent="0.2">
      <c r="A171" t="s">
        <v>158</v>
      </c>
    </row>
    <row r="172" spans="1:1" x14ac:dyDescent="0.2">
      <c r="A172" t="s">
        <v>163</v>
      </c>
    </row>
    <row r="173" spans="1:1" x14ac:dyDescent="0.2">
      <c r="A173" t="s">
        <v>167</v>
      </c>
    </row>
    <row r="174" spans="1:1" x14ac:dyDescent="0.2">
      <c r="A174" t="s">
        <v>172</v>
      </c>
    </row>
    <row r="175" spans="1:1" x14ac:dyDescent="0.2">
      <c r="A175" t="s">
        <v>175</v>
      </c>
    </row>
    <row r="176" spans="1:1" x14ac:dyDescent="0.2">
      <c r="A176" t="s">
        <v>178</v>
      </c>
    </row>
    <row r="177" spans="1:1" x14ac:dyDescent="0.2">
      <c r="A177" t="s">
        <v>181</v>
      </c>
    </row>
    <row r="178" spans="1:1" x14ac:dyDescent="0.2">
      <c r="A178" t="s">
        <v>185</v>
      </c>
    </row>
    <row r="179" spans="1:1" x14ac:dyDescent="0.2">
      <c r="A179" t="s">
        <v>189</v>
      </c>
    </row>
    <row r="180" spans="1:1" x14ac:dyDescent="0.2">
      <c r="A180" t="s">
        <v>193</v>
      </c>
    </row>
    <row r="181" spans="1:1" x14ac:dyDescent="0.2">
      <c r="A181" t="s">
        <v>197</v>
      </c>
    </row>
    <row r="182" spans="1:1" x14ac:dyDescent="0.2">
      <c r="A182" t="s">
        <v>201</v>
      </c>
    </row>
    <row r="183" spans="1:1" x14ac:dyDescent="0.2">
      <c r="A183" t="s">
        <v>206</v>
      </c>
    </row>
    <row r="184" spans="1:1" x14ac:dyDescent="0.2">
      <c r="A184" t="s">
        <v>209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225</v>
      </c>
      <c r="B1" t="s">
        <v>226</v>
      </c>
      <c r="C1" t="s">
        <v>227</v>
      </c>
    </row>
    <row r="2" spans="1:3" x14ac:dyDescent="0.2">
      <c r="A2">
        <v>2</v>
      </c>
      <c r="B2">
        <v>1</v>
      </c>
      <c r="C2">
        <v>6144508.0295962896</v>
      </c>
    </row>
    <row r="3" spans="1:3" x14ac:dyDescent="0.2">
      <c r="A3">
        <v>2</v>
      </c>
      <c r="B3">
        <v>2</v>
      </c>
      <c r="C3">
        <v>4920991.9698781697</v>
      </c>
    </row>
    <row r="4" spans="1:3" x14ac:dyDescent="0.2">
      <c r="A4">
        <v>2</v>
      </c>
      <c r="B4">
        <v>3</v>
      </c>
      <c r="C4">
        <v>190385.87777849601</v>
      </c>
    </row>
    <row r="5" spans="1:3" x14ac:dyDescent="0.2">
      <c r="A5">
        <v>4</v>
      </c>
      <c r="B5">
        <v>1</v>
      </c>
      <c r="C5">
        <v>107629.530503503</v>
      </c>
    </row>
    <row r="6" spans="1:3" x14ac:dyDescent="0.2">
      <c r="A6">
        <v>4</v>
      </c>
      <c r="B6">
        <v>2</v>
      </c>
      <c r="C6">
        <v>4833618.8548125103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7"/>
  <sheetViews>
    <sheetView workbookViewId="0"/>
  </sheetViews>
  <sheetFormatPr baseColWidth="10" defaultRowHeight="15" x14ac:dyDescent="0.2"/>
  <cols>
    <col min="1" max="1" width="13.1640625" bestFit="1" customWidth="1"/>
    <col min="2" max="2" width="15.1640625" bestFit="1" customWidth="1"/>
    <col min="3" max="5" width="12.1640625" bestFit="1" customWidth="1"/>
  </cols>
  <sheetData>
    <row r="3" spans="1:5" x14ac:dyDescent="0.2">
      <c r="A3" s="1" t="s">
        <v>236</v>
      </c>
      <c r="B3" s="1" t="s">
        <v>237</v>
      </c>
    </row>
    <row r="4" spans="1:5" x14ac:dyDescent="0.2">
      <c r="A4" s="1" t="s">
        <v>238</v>
      </c>
      <c r="B4">
        <v>1</v>
      </c>
      <c r="C4">
        <v>2</v>
      </c>
      <c r="D4">
        <v>3</v>
      </c>
      <c r="E4" t="s">
        <v>239</v>
      </c>
    </row>
    <row r="5" spans="1:5" x14ac:dyDescent="0.2">
      <c r="A5" s="2">
        <v>2</v>
      </c>
      <c r="B5" s="3">
        <v>6144508.0295962896</v>
      </c>
      <c r="C5" s="3">
        <v>4920991.9698781697</v>
      </c>
      <c r="D5" s="3">
        <v>190385.87777849601</v>
      </c>
      <c r="E5" s="3">
        <v>11255885.877252955</v>
      </c>
    </row>
    <row r="6" spans="1:5" x14ac:dyDescent="0.2">
      <c r="A6" s="2">
        <v>4</v>
      </c>
      <c r="B6" s="3">
        <v>107629.530503503</v>
      </c>
      <c r="C6" s="3">
        <v>4833618.8548125103</v>
      </c>
      <c r="D6" s="3"/>
      <c r="E6" s="3">
        <v>4941248.3853160134</v>
      </c>
    </row>
    <row r="7" spans="1:5" x14ac:dyDescent="0.2">
      <c r="A7" s="2" t="s">
        <v>239</v>
      </c>
      <c r="B7" s="3">
        <v>6252137.5600997927</v>
      </c>
      <c r="C7" s="3">
        <v>9754610.824690681</v>
      </c>
      <c r="D7" s="3">
        <v>190385.87777849601</v>
      </c>
      <c r="E7" s="3">
        <v>16197134.262568969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603477C7E4B47976B808974664C83" ma:contentTypeVersion="10" ma:contentTypeDescription="Create a new document." ma:contentTypeScope="" ma:versionID="63529f0228314673305b50b94cf693bc">
  <xsd:schema xmlns:xsd="http://www.w3.org/2001/XMLSchema" xmlns:xs="http://www.w3.org/2001/XMLSchema" xmlns:p="http://schemas.microsoft.com/office/2006/metadata/properties" xmlns:ns2="473434da-aef8-40da-a291-f69d57189903" targetNamespace="http://schemas.microsoft.com/office/2006/metadata/properties" ma:root="true" ma:fieldsID="b5cd6c0e0185dd321deca0359a999145" ns2:_="">
    <xsd:import namespace="473434da-aef8-40da-a291-f69d571899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434da-aef8-40da-a291-f69d571899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13d438-8e88-45d7-818e-bc9930d04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3434da-aef8-40da-a291-f69d571899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3390D2-F9D2-4AE8-871E-D1F4D360B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434da-aef8-40da-a291-f69d571899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E034C9-3E22-4A5C-B50B-D65EA264EF91}">
  <ds:schemaRefs>
    <ds:schemaRef ds:uri="http://schemas.microsoft.com/office/2006/metadata/properties"/>
    <ds:schemaRef ds:uri="473434da-aef8-40da-a291-f69d57189903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798C20-7844-410F-91BA-06A7777440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parameters</vt:lpstr>
      <vt:lpstr>policies</vt:lpstr>
      <vt:lpstr>compExposures</vt:lpstr>
      <vt:lpstr>events</vt:lpstr>
      <vt:lpstr>losses</vt:lpstr>
      <vt:lpstr>payouts</vt:lpstr>
      <vt:lpstr>Pivot_Data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roblieberthal</dc:creator>
  <cp:lastModifiedBy>Rob Lieberthal, PhD</cp:lastModifiedBy>
  <dcterms:created xsi:type="dcterms:W3CDTF">2026-03-08T12:48:10Z</dcterms:created>
  <dcterms:modified xsi:type="dcterms:W3CDTF">2026-03-08T17:54:31Z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0x010100041603477C7E4B47976B808974664C83</vt:lpwstr>
  </property>
  <property fmtid="{D5CDD505-2E9C-101B-9397-08002B2CF9AE}" pid="3" name="MediaServiceImageTags">
    <vt:lpwstr/>
  </property>
</Properties>
</file>